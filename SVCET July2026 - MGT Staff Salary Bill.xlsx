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<sst xmlns="http://schemas.openxmlformats.org/spreadsheetml/2006/main" count="68" uniqueCount="63">
  <si>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t>Sri Venkateswara College of Engineering and Technology</t>
  </si>
  <si>
    <t>Management Staff - Salary Bill for the Month of July 2026</t>
  </si>
  <si>
    <t>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</si>
  <si>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</si>
  <si>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</si>
  <si>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</si>
  <si>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</si>
  <si>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</si>
  <si>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</si>
  <si>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</si>
  <si>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</si>
  <si>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</si>
  <si>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</si>
  <si>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</si>
  <si>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</si>
  <si>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</si>
  <si>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</si>
  <si>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</si>
  <si>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</si>
  <si>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IT</t>
  </si>
  <si>
    <t>PT</t>
  </si>
  <si>
    <t>WF</t>
  </si>
  <si>
    <t>Cell</t>
  </si>
  <si>
    <t>EB</t>
  </si>
  <si>
    <t>Mess</t>
  </si>
  <si>
    <t>Bus/ others</t>
  </si>
  <si>
    <t>Tot Ded</t>
  </si>
  <si>
    <t>Net
Salary</t>
  </si>
  <si>
    <t>PNB Account
Number</t>
  </si>
  <si>
    <t>IFSC CODE</t>
  </si>
  <si>
    <t>S. Shajahan</t>
  </si>
  <si>
    <t>P.A to Chairman</t>
  </si>
  <si>
    <t>4017000402714253</t>
  </si>
  <si>
    <t>PUNB0401700</t>
  </si>
  <si>
    <t>M.P.Balaji</t>
  </si>
  <si>
    <t>Accts. Officer</t>
  </si>
  <si>
    <t>4017000402722252</t>
  </si>
  <si>
    <t>R Poorna Chandra</t>
  </si>
  <si>
    <t>Estate Manager</t>
  </si>
  <si>
    <t>4017000102778412</t>
  </si>
  <si>
    <t xml:space="preserve">K Siddartha </t>
  </si>
  <si>
    <t>Supervisior</t>
  </si>
  <si>
    <t>6058363714</t>
  </si>
  <si>
    <t>IDIB000D030</t>
  </si>
  <si>
    <t>M. Sathish kumar</t>
  </si>
  <si>
    <t>Law Office</t>
  </si>
  <si>
    <t>5353350457</t>
  </si>
  <si>
    <t>CBIN0282206</t>
  </si>
  <si>
    <t>K. Giri Babu</t>
  </si>
  <si>
    <t>EPF cons</t>
  </si>
  <si>
    <t>4017000102776140</t>
  </si>
  <si>
    <t xml:space="preserve">T Vinod Kumar </t>
  </si>
  <si>
    <t>System Admin</t>
  </si>
  <si>
    <t>110197204449</t>
  </si>
  <si>
    <t>CNRB0000852</t>
  </si>
  <si>
    <t>Prepared By</t>
  </si>
  <si>
    <t>Verified By</t>
  </si>
  <si>
    <t>HR</t>
  </si>
  <si>
    <t>AO</t>
  </si>
  <si>
    <t>Accounts Officer</t>
  </si>
  <si>
    <t>Principal</t>
  </si>
  <si>
    <t xml:space="preserve"> Principal </t>
  </si>
  <si>
    <t>Vice Chairman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</si>
</sst>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  <numFmt numFmtId="179" formatCode="0.0"/>
    <numFmt numFmtId="180" formatCode="_ * #,##0_ ;_ * \-#,##0_ ;_ * &quot;-&quot;??_ ;_ @_ "/>
  </numFmts>
  <fonts count="29">
    <font>
      <sz val="11"/>
      <color theme="1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rgb="FF17365D"/>
      <name val="Times New Roman"/>
      <charset val="134"/>
    </font>
    <font>
      <b/>
      <sz val="10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178" fontId="1" fillId="0" borderId="7" xfId="0" applyNumberFormat="1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43" fontId="1" fillId="0" borderId="7" xfId="0" applyNumberFormat="1" applyFont="1" applyBorder="1" applyAlignment="1">
      <alignment horizontal="center" vertical="center" wrapText="1"/>
    </xf>
    <xf numFmtId="43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 wrapText="1"/>
    </xf>
    <xf numFmtId="178" fontId="2" fillId="0" borderId="7" xfId="0" applyNumberFormat="1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79" fontId="7" fillId="0" borderId="7" xfId="0" applyNumberFormat="1" applyFont="1" applyBorder="1" applyAlignment="1">
      <alignment horizontal="center" vertical="center" wrapText="1"/>
    </xf>
    <xf numFmtId="180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/>
    <xf numFmtId="178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78" fontId="2" fillId="2" borderId="7" xfId="0" applyNumberFormat="1" applyFont="1" applyFill="1" applyBorder="1" applyAlignment="1">
      <alignment vertical="center" wrapText="1"/>
    </xf>
    <xf numFmtId="178" fontId="2" fillId="2" borderId="7" xfId="0" applyNumberFormat="1" applyFont="1" applyFill="1" applyBorder="1" applyAlignment="1">
      <alignment horizontal="center" vertical="center" wrapText="1"/>
    </xf>
    <xf numFmtId="178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8" fontId="2" fillId="0" borderId="7" xfId="1" applyNumberFormat="1" applyFont="1" applyFill="1" applyBorder="1" applyAlignment="1">
      <alignment vertical="center" wrapText="1"/>
    </xf>
    <xf numFmtId="178" fontId="2" fillId="0" borderId="7" xfId="1" applyNumberFormat="1" applyFont="1" applyFill="1" applyBorder="1" applyAlignment="1">
      <alignment horizontal="center" vertical="center" wrapText="1"/>
    </xf>
    <xf numFmtId="178" fontId="2" fillId="0" borderId="7" xfId="0" applyNumberFormat="1" applyFont="1" applyBorder="1" applyAlignment="1">
      <alignment horizontal="center" vertical="center"/>
    </xf>
    <xf numFmtId="176" fontId="2" fillId="0" borderId="7" xfId="1" applyFont="1" applyFill="1" applyBorder="1" applyAlignment="1">
      <alignment horizontal="center" vertical="center"/>
    </xf>
    <xf numFmtId="43" fontId="2" fillId="0" borderId="7" xfId="0" applyNumberFormat="1" applyFont="1" applyBorder="1" applyAlignment="1">
      <alignment horizontal="center" vertical="center"/>
    </xf>
    <xf numFmtId="178" fontId="6" fillId="0" borderId="7" xfId="0" applyNumberFormat="1" applyFont="1" applyBorder="1" applyAlignment="1">
      <alignment horizontal="center" vertical="center"/>
    </xf>
    <xf numFmtId="178" fontId="3" fillId="0" borderId="7" xfId="1" applyNumberFormat="1" applyFont="1" applyFill="1" applyBorder="1" applyAlignment="1">
      <alignment vertical="center" wrapText="1"/>
    </xf>
    <xf numFmtId="178" fontId="3" fillId="0" borderId="7" xfId="1" applyNumberFormat="1" applyFont="1" applyFill="1" applyBorder="1" applyAlignment="1">
      <alignment horizontal="center" vertical="center" wrapText="1"/>
    </xf>
    <xf numFmtId="176" fontId="3" fillId="0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80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 wrapText="1"/>
    </xf>
    <xf numFmtId="179" fontId="7" fillId="0" borderId="0" xfId="0" applyNumberFormat="1" applyFont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178" fontId="2" fillId="2" borderId="0" xfId="0" applyNumberFormat="1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vertical="center"/>
    </xf>
    <xf numFmtId="180" fontId="8" fillId="0" borderId="0" xfId="0" applyNumberFormat="1" applyFont="1" applyAlignment="1">
      <alignment vertical="center"/>
    </xf>
    <xf numFmtId="18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6" fillId="0" borderId="8" xfId="0" applyNumberFormat="1" applyFont="1" applyBorder="1" applyAlignment="1">
      <alignment vertical="center"/>
    </xf>
    <xf numFmtId="178" fontId="6" fillId="0" borderId="8" xfId="0" applyNumberFormat="1" applyFont="1" applyBorder="1" applyAlignment="1">
      <alignment horizontal="center"/>
    </xf>
    <xf numFmtId="178" fontId="1" fillId="0" borderId="0" xfId="0" applyNumberFormat="1" applyFont="1" applyAlignment="1">
      <alignment vertical="center"/>
    </xf>
    <xf numFmtId="178" fontId="6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178" fontId="6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180" fontId="9" fillId="0" borderId="0" xfId="0" applyNumberFormat="1" applyFont="1" applyAlignment="1">
      <alignment vertical="center"/>
    </xf>
    <xf numFmtId="43" fontId="1" fillId="0" borderId="7" xfId="0" applyNumberFormat="1" applyFont="1" applyBorder="1" applyAlignment="1" quotePrefix="1">
      <alignment horizontal="center" vertical="center"/>
    </xf>
    <xf numFmtId="0" fontId="1" fillId="0" borderId="7" xfId="0" applyFont="1" applyBorder="1" applyAlignment="1" quotePrefix="1">
      <alignment horizontal="center" vertical="center"/>
    </xf>
    <xf numFmtId="0" fontId="2" fillId="2" borderId="7" xfId="0" applyFont="1" applyFill="1" applyBorder="1" applyAlignment="1" quotePrefix="1">
      <alignment horizontal="center" vertical="center"/>
    </xf>
    <xf numFmtId="176" fontId="2" fillId="0" borderId="7" xfId="1" applyFont="1" applyFill="1" applyBorder="1" applyAlignment="1" quotePrefix="1">
      <alignment horizontal="center" vertical="center"/>
    </xf>
    <xf numFmtId="43" fontId="2" fillId="0" borderId="7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tabSelected="1" zoomScale="110" zoomScaleNormal="110" topLeftCell="A12" workbookViewId="0">
      <selection activeCell="Z18" sqref="Z18"/>
    </sheetView>
  </sheetViews>
  <sheetFormatPr defaultColWidth="9" defaultRowHeight="14"/>
  <cols>
    <col min="1" max="1" width="5.85454545454545" style="6" customWidth="1"/>
    <col min="2" max="2" width="17.4272727272727" style="6" customWidth="1"/>
    <col min="3" max="3" width="14.1363636363636" style="6" customWidth="1"/>
    <col min="4" max="4" width="9" style="7" customWidth="1"/>
    <col min="5" max="5" width="11.1363636363636" style="8" customWidth="1"/>
    <col min="6" max="6" width="5" style="6" hidden="1" customWidth="1"/>
    <col min="7" max="7" width="4.13636363636364" style="6" hidden="1" customWidth="1"/>
    <col min="8" max="8" width="4.85454545454545" style="6" hidden="1" customWidth="1"/>
    <col min="9" max="9" width="6.13636363636364" style="6" customWidth="1"/>
    <col min="10" max="10" width="5.85454545454545" style="6" hidden="1" customWidth="1"/>
    <col min="11" max="11" width="3.13636363636364" style="6" hidden="1" customWidth="1"/>
    <col min="12" max="12" width="4.42727272727273" style="6" hidden="1" customWidth="1"/>
    <col min="13" max="13" width="8.42727272727273" style="6" customWidth="1"/>
    <col min="14" max="14" width="7.13636363636364" style="6" hidden="1" customWidth="1"/>
    <col min="15" max="15" width="5.85454545454545" style="6" hidden="1" customWidth="1"/>
    <col min="16" max="16" width="8.85454545454546" style="6" customWidth="1"/>
    <col min="17" max="17" width="7.13636363636364" style="6" customWidth="1"/>
    <col min="18" max="18" width="9" style="6" hidden="1" customWidth="1"/>
    <col min="19" max="20" width="4.85454545454545" style="6" customWidth="1"/>
    <col min="21" max="21" width="7.13636363636364" style="6" hidden="1" customWidth="1"/>
    <col min="22" max="22" width="17.1363636363636" style="6" hidden="1" customWidth="1"/>
    <col min="23" max="23" width="12.4272727272727" style="6" hidden="1" customWidth="1"/>
    <col min="24" max="24" width="10.1363636363636" style="6" hidden="1" customWidth="1"/>
    <col min="25" max="26" width="8.85454545454546" style="6" customWidth="1"/>
    <col min="27" max="27" width="18.1363636363636" style="6" customWidth="1"/>
    <col min="28" max="28" width="15" style="6" customWidth="1"/>
    <col min="29" max="16384" width="9" style="6"/>
  </cols>
  <sheetData>
    <row r="1" s="1" customFormat="1" ht="17.25" customHeight="1" spans="1:2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/>
    </row>
    <row r="2" s="1" customFormat="1" ht="17.25" customHeight="1" spans="1:28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4"/>
    </row>
    <row r="3" s="1" customFormat="1" ht="13" spans="1:28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>
        <v>31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4"/>
    </row>
    <row r="4" s="2" customFormat="1" ht="37.5" customHeight="1" spans="1:28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6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5" t="s">
        <v>22</v>
      </c>
      <c r="V4" s="15" t="s">
        <v>23</v>
      </c>
      <c r="W4" s="15" t="s">
        <v>24</v>
      </c>
      <c r="X4" s="15" t="s">
        <v>25</v>
      </c>
      <c r="Y4" s="15" t="s">
        <v>26</v>
      </c>
      <c r="Z4" s="15" t="s">
        <v>27</v>
      </c>
      <c r="AA4" s="16" t="s">
        <v>28</v>
      </c>
      <c r="AB4" s="17" t="s">
        <v>29</v>
      </c>
    </row>
    <row r="5" s="1" customFormat="1" ht="26.25" customHeight="1" spans="1:28">
      <c r="A5" s="18">
        <v>1</v>
      </c>
      <c r="B5" s="19" t="s">
        <v>30</v>
      </c>
      <c r="C5" s="20" t="s">
        <v>31</v>
      </c>
      <c r="D5" s="21">
        <v>24685</v>
      </c>
      <c r="E5" s="22">
        <v>24685</v>
      </c>
      <c r="F5" s="18"/>
      <c r="G5" s="20"/>
      <c r="H5" s="20"/>
      <c r="I5" s="23">
        <v>31</v>
      </c>
      <c r="J5" s="18"/>
      <c r="K5" s="18"/>
      <c r="L5" s="18"/>
      <c r="M5" s="18"/>
      <c r="N5" s="18"/>
      <c r="O5" s="18"/>
      <c r="P5" s="20">
        <f>ROUNDUP(E5/$M$3*I5+M5,0)</f>
        <v>24685</v>
      </c>
      <c r="Q5" s="20">
        <v>3600</v>
      </c>
      <c r="R5" s="20"/>
      <c r="S5" s="20">
        <f>IF(P5&gt;20001,200,IF(P5&gt;15001,150,IF(P5&lt;15000,0,)))</f>
        <v>200</v>
      </c>
      <c r="T5" s="20">
        <f>IF(P5,IF(1,30),IF(1,0))</f>
        <v>30</v>
      </c>
      <c r="U5" s="20">
        <v>0</v>
      </c>
      <c r="V5" s="20"/>
      <c r="W5" s="20"/>
      <c r="X5" s="20"/>
      <c r="Y5" s="20">
        <f t="shared" ref="Y5:Y11" si="0">SUM(Q5:X5)</f>
        <v>3830</v>
      </c>
      <c r="Z5" s="20">
        <f t="shared" ref="Z5:Z11" si="1">P5-Y5</f>
        <v>20855</v>
      </c>
      <c r="AA5" s="77" t="s">
        <v>32</v>
      </c>
      <c r="AB5" s="25" t="s">
        <v>33</v>
      </c>
    </row>
    <row r="6" s="1" customFormat="1" ht="26.25" customHeight="1" spans="1:28">
      <c r="A6" s="18">
        <v>2</v>
      </c>
      <c r="B6" s="19" t="s">
        <v>34</v>
      </c>
      <c r="C6" s="20" t="s">
        <v>35</v>
      </c>
      <c r="D6" s="21">
        <v>43700</v>
      </c>
      <c r="E6" s="26">
        <v>43700</v>
      </c>
      <c r="F6" s="18"/>
      <c r="G6" s="18"/>
      <c r="H6" s="18"/>
      <c r="I6" s="23">
        <v>31</v>
      </c>
      <c r="J6" s="18"/>
      <c r="K6" s="18"/>
      <c r="L6" s="18"/>
      <c r="M6" s="18"/>
      <c r="N6" s="18"/>
      <c r="O6" s="18"/>
      <c r="P6" s="20">
        <f t="shared" ref="P6:P11" si="2">ROUNDUP(E6/$M$3*I6+M6,0)</f>
        <v>43700</v>
      </c>
      <c r="Q6" s="20">
        <v>3600</v>
      </c>
      <c r="R6" s="20"/>
      <c r="S6" s="20">
        <f>IF(P6&gt;20001,200,IF(P6&gt;15001,150,IF(P6&lt;15000,0,)))</f>
        <v>200</v>
      </c>
      <c r="T6" s="20">
        <f>IF(P6,IF(1,30),IF(1,0))</f>
        <v>30</v>
      </c>
      <c r="U6" s="20"/>
      <c r="V6" s="20"/>
      <c r="W6" s="20"/>
      <c r="X6" s="20"/>
      <c r="Y6" s="20">
        <f t="shared" si="0"/>
        <v>3830</v>
      </c>
      <c r="Z6" s="20">
        <f t="shared" si="1"/>
        <v>39870</v>
      </c>
      <c r="AA6" s="77" t="s">
        <v>36</v>
      </c>
      <c r="AB6" s="25" t="s">
        <v>33</v>
      </c>
    </row>
    <row r="7" ht="26.25" customHeight="1" spans="1:28">
      <c r="A7" s="18">
        <v>3</v>
      </c>
      <c r="B7" s="27" t="s">
        <v>37</v>
      </c>
      <c r="C7" s="28" t="s">
        <v>38</v>
      </c>
      <c r="D7" s="21">
        <v>35000</v>
      </c>
      <c r="E7" s="22">
        <v>35000</v>
      </c>
      <c r="F7" s="29"/>
      <c r="G7" s="29"/>
      <c r="H7" s="29"/>
      <c r="I7" s="23">
        <v>31</v>
      </c>
      <c r="J7" s="30"/>
      <c r="K7" s="30"/>
      <c r="L7" s="30"/>
      <c r="M7" s="31"/>
      <c r="N7" s="32"/>
      <c r="O7" s="31"/>
      <c r="P7" s="20">
        <f t="shared" si="2"/>
        <v>35000</v>
      </c>
      <c r="Q7" s="20">
        <v>3600</v>
      </c>
      <c r="R7" s="31"/>
      <c r="S7" s="31"/>
      <c r="T7" s="20">
        <v>30</v>
      </c>
      <c r="U7" s="32"/>
      <c r="V7" s="32"/>
      <c r="W7" s="32"/>
      <c r="X7" s="32"/>
      <c r="Y7" s="33">
        <f t="shared" si="0"/>
        <v>3630</v>
      </c>
      <c r="Z7" s="33">
        <f t="shared" si="1"/>
        <v>31370</v>
      </c>
      <c r="AA7" s="77" t="s">
        <v>39</v>
      </c>
      <c r="AB7" s="34" t="s">
        <v>33</v>
      </c>
    </row>
    <row r="8" s="1" customFormat="1" ht="26.25" customHeight="1" spans="1:28">
      <c r="A8" s="18">
        <v>4</v>
      </c>
      <c r="B8" s="19" t="s">
        <v>40</v>
      </c>
      <c r="C8" s="20" t="s">
        <v>41</v>
      </c>
      <c r="D8" s="21">
        <v>16000</v>
      </c>
      <c r="E8" s="22">
        <v>16000</v>
      </c>
      <c r="F8" s="18"/>
      <c r="G8" s="18"/>
      <c r="H8" s="18"/>
      <c r="I8" s="23">
        <v>31</v>
      </c>
      <c r="J8" s="18"/>
      <c r="K8" s="18"/>
      <c r="L8" s="18"/>
      <c r="M8" s="18"/>
      <c r="N8" s="18"/>
      <c r="O8" s="18"/>
      <c r="P8" s="20">
        <f t="shared" si="2"/>
        <v>16000</v>
      </c>
      <c r="Q8" s="20"/>
      <c r="R8" s="20"/>
      <c r="S8" s="20">
        <f>IF(P8&gt;20001,200,IF(P8&gt;15001,150,IF(P8&lt;15000,0,)))</f>
        <v>150</v>
      </c>
      <c r="T8" s="20">
        <f>IF(P8,IF(1,30),IF(1,0))</f>
        <v>30</v>
      </c>
      <c r="U8" s="20"/>
      <c r="V8" s="20"/>
      <c r="W8" s="20"/>
      <c r="X8" s="20"/>
      <c r="Y8" s="20">
        <f t="shared" si="0"/>
        <v>180</v>
      </c>
      <c r="Z8" s="20">
        <f t="shared" si="1"/>
        <v>15820</v>
      </c>
      <c r="AA8" s="78" t="s">
        <v>42</v>
      </c>
      <c r="AB8" s="25" t="s">
        <v>43</v>
      </c>
    </row>
    <row r="9" s="3" customFormat="1" ht="26.25" customHeight="1" spans="1:28">
      <c r="A9" s="18">
        <v>5</v>
      </c>
      <c r="B9" s="35" t="s">
        <v>44</v>
      </c>
      <c r="C9" s="36" t="s">
        <v>45</v>
      </c>
      <c r="D9" s="21">
        <v>30000</v>
      </c>
      <c r="E9" s="22">
        <v>30000</v>
      </c>
      <c r="F9" s="37"/>
      <c r="G9" s="36"/>
      <c r="H9" s="36"/>
      <c r="I9" s="23">
        <v>31</v>
      </c>
      <c r="J9" s="37"/>
      <c r="K9" s="37"/>
      <c r="L9" s="37"/>
      <c r="M9" s="37"/>
      <c r="N9" s="37"/>
      <c r="O9" s="37"/>
      <c r="P9" s="20">
        <f t="shared" si="2"/>
        <v>30000</v>
      </c>
      <c r="Q9" s="36"/>
      <c r="R9" s="36"/>
      <c r="S9" s="36"/>
      <c r="T9" s="36"/>
      <c r="U9" s="36">
        <v>0</v>
      </c>
      <c r="V9" s="36"/>
      <c r="W9" s="36"/>
      <c r="X9" s="36"/>
      <c r="Y9" s="36">
        <f t="shared" si="0"/>
        <v>0</v>
      </c>
      <c r="Z9" s="36">
        <f t="shared" si="1"/>
        <v>30000</v>
      </c>
      <c r="AA9" s="79" t="s">
        <v>46</v>
      </c>
      <c r="AB9" s="38" t="s">
        <v>47</v>
      </c>
    </row>
    <row r="10" s="4" customFormat="1" ht="26.25" customHeight="1" spans="1:28">
      <c r="A10" s="18">
        <v>6</v>
      </c>
      <c r="B10" s="39" t="s">
        <v>48</v>
      </c>
      <c r="C10" s="40" t="s">
        <v>49</v>
      </c>
      <c r="D10" s="21">
        <v>5000</v>
      </c>
      <c r="E10" s="22">
        <v>5000</v>
      </c>
      <c r="F10" s="41"/>
      <c r="G10" s="33"/>
      <c r="H10" s="33"/>
      <c r="I10" s="23">
        <v>31</v>
      </c>
      <c r="J10" s="41"/>
      <c r="K10" s="41"/>
      <c r="L10" s="41"/>
      <c r="M10" s="41"/>
      <c r="N10" s="41"/>
      <c r="O10" s="41"/>
      <c r="P10" s="20">
        <f t="shared" si="2"/>
        <v>5000</v>
      </c>
      <c r="Q10" s="33"/>
      <c r="R10" s="33"/>
      <c r="S10" s="33">
        <f>IF(P10&gt;20001,200,IF(P10&gt;15001,150,IF(P10&lt;15000,0,)))</f>
        <v>0</v>
      </c>
      <c r="T10" s="33">
        <v>30</v>
      </c>
      <c r="U10" s="33">
        <v>0</v>
      </c>
      <c r="V10" s="33"/>
      <c r="W10" s="33"/>
      <c r="X10" s="33"/>
      <c r="Y10" s="33">
        <f t="shared" si="0"/>
        <v>30</v>
      </c>
      <c r="Z10" s="33">
        <f t="shared" si="1"/>
        <v>4970</v>
      </c>
      <c r="AA10" s="80" t="s">
        <v>50</v>
      </c>
      <c r="AB10" s="34" t="s">
        <v>33</v>
      </c>
    </row>
    <row r="11" s="4" customFormat="1" ht="26.25" customHeight="1" spans="1:28">
      <c r="A11" s="18">
        <v>7</v>
      </c>
      <c r="B11" s="27" t="s">
        <v>51</v>
      </c>
      <c r="C11" s="33" t="s">
        <v>52</v>
      </c>
      <c r="D11" s="21">
        <v>32000</v>
      </c>
      <c r="E11" s="22">
        <v>32000</v>
      </c>
      <c r="F11" s="41"/>
      <c r="G11" s="41"/>
      <c r="H11" s="41"/>
      <c r="I11" s="23">
        <v>31</v>
      </c>
      <c r="J11" s="41"/>
      <c r="K11" s="41"/>
      <c r="L11" s="41"/>
      <c r="M11" s="41">
        <v>11875</v>
      </c>
      <c r="N11" s="41"/>
      <c r="O11" s="41"/>
      <c r="P11" s="20">
        <f t="shared" si="2"/>
        <v>43875</v>
      </c>
      <c r="Q11" s="33"/>
      <c r="R11" s="33"/>
      <c r="S11" s="33">
        <f>IF(P11&gt;20001,200,IF(P11&gt;15001,150,IF(P11&lt;15000,0,)))</f>
        <v>200</v>
      </c>
      <c r="T11" s="33">
        <f>IF(P11,IF(1,30),IF(1,0))</f>
        <v>30</v>
      </c>
      <c r="U11" s="33"/>
      <c r="V11" s="33"/>
      <c r="W11" s="33"/>
      <c r="X11" s="33"/>
      <c r="Y11" s="33">
        <f t="shared" si="0"/>
        <v>230</v>
      </c>
      <c r="Z11" s="33">
        <f t="shared" si="1"/>
        <v>43645</v>
      </c>
      <c r="AA11" s="81" t="s">
        <v>53</v>
      </c>
      <c r="AB11" s="34" t="s">
        <v>54</v>
      </c>
    </row>
    <row r="12" s="5" customFormat="1" ht="29.25" customHeight="1" spans="1:28">
      <c r="A12" s="44"/>
      <c r="B12" s="45"/>
      <c r="C12" s="46" t="s">
        <v>9</v>
      </c>
      <c r="D12" s="15">
        <f>SUM(D5:D11)</f>
        <v>186385</v>
      </c>
      <c r="E12" s="15">
        <f>SUM(E5:E11)</f>
        <v>186385</v>
      </c>
      <c r="F12" s="15">
        <f t="shared" ref="E12:Z12" si="3">SUM(F5:F11)</f>
        <v>0</v>
      </c>
      <c r="G12" s="15">
        <f t="shared" si="3"/>
        <v>0</v>
      </c>
      <c r="H12" s="15">
        <f t="shared" si="3"/>
        <v>0</v>
      </c>
      <c r="I12" s="15"/>
      <c r="J12" s="15">
        <f t="shared" si="3"/>
        <v>0</v>
      </c>
      <c r="K12" s="15">
        <f t="shared" si="3"/>
        <v>0</v>
      </c>
      <c r="L12" s="15">
        <f t="shared" si="3"/>
        <v>0</v>
      </c>
      <c r="M12" s="15">
        <f t="shared" si="3"/>
        <v>11875</v>
      </c>
      <c r="N12" s="15">
        <f t="shared" si="3"/>
        <v>0</v>
      </c>
      <c r="O12" s="15">
        <f t="shared" si="3"/>
        <v>0</v>
      </c>
      <c r="P12" s="15">
        <f t="shared" si="3"/>
        <v>198260</v>
      </c>
      <c r="Q12" s="15">
        <f t="shared" si="3"/>
        <v>10800</v>
      </c>
      <c r="R12" s="15">
        <f t="shared" si="3"/>
        <v>0</v>
      </c>
      <c r="S12" s="15">
        <f t="shared" si="3"/>
        <v>750</v>
      </c>
      <c r="T12" s="15">
        <f t="shared" si="3"/>
        <v>180</v>
      </c>
      <c r="U12" s="15">
        <f t="shared" si="3"/>
        <v>0</v>
      </c>
      <c r="V12" s="15">
        <f t="shared" si="3"/>
        <v>0</v>
      </c>
      <c r="W12" s="15">
        <f t="shared" si="3"/>
        <v>0</v>
      </c>
      <c r="X12" s="15">
        <f t="shared" si="3"/>
        <v>0</v>
      </c>
      <c r="Y12" s="15">
        <f t="shared" si="3"/>
        <v>11730</v>
      </c>
      <c r="Z12" s="15">
        <f t="shared" si="3"/>
        <v>186530</v>
      </c>
      <c r="AA12" s="47"/>
      <c r="AB12" s="48"/>
    </row>
    <row r="13" spans="1:28">
      <c r="A13" s="49"/>
      <c r="B13" s="50"/>
      <c r="C13" s="51"/>
      <c r="D13" s="52"/>
      <c r="E13" s="53"/>
      <c r="F13" s="54"/>
      <c r="G13" s="54"/>
      <c r="H13" s="54"/>
      <c r="I13" s="55"/>
      <c r="J13" s="56"/>
      <c r="K13" s="56"/>
      <c r="L13" s="56"/>
      <c r="M13" s="57"/>
      <c r="O13" s="57"/>
      <c r="P13" s="57"/>
      <c r="Q13" s="57"/>
      <c r="R13" s="57"/>
      <c r="S13" s="57"/>
      <c r="Y13" s="58"/>
      <c r="Z13" s="58"/>
      <c r="AA13" s="59"/>
      <c r="AB13" s="60"/>
    </row>
    <row r="14" ht="26.25" customHeight="1" spans="1:28">
      <c r="A14" s="61"/>
      <c r="B14" s="61"/>
      <c r="C14" s="62"/>
      <c r="D14" s="61"/>
      <c r="E14" s="63"/>
      <c r="F14" s="63"/>
      <c r="G14" s="63"/>
      <c r="H14" s="63"/>
      <c r="I14" s="63"/>
      <c r="J14" s="64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5"/>
      <c r="X14" s="65"/>
    </row>
    <row r="15" ht="54.6" customHeight="1" spans="1:28">
      <c r="A15" s="66"/>
      <c r="B15" s="67" t="s">
        <v>55</v>
      </c>
      <c r="C15" s="66"/>
      <c r="D15" s="67" t="s">
        <v>56</v>
      </c>
      <c r="E15" s="67"/>
      <c r="G15" s="68"/>
      <c r="H15" s="49"/>
      <c r="I15" s="69"/>
      <c r="J15" s="69"/>
      <c r="K15" s="69"/>
      <c r="L15" s="69"/>
      <c r="M15" s="67" t="s">
        <v>56</v>
      </c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</row>
    <row r="16" ht="19.5" customHeight="1" spans="1:28">
      <c r="A16" s="49"/>
      <c r="B16" s="70" t="s">
        <v>57</v>
      </c>
      <c r="C16" s="71"/>
      <c r="D16" s="72" t="s">
        <v>58</v>
      </c>
      <c r="E16" s="72"/>
      <c r="G16" s="72"/>
      <c r="H16" s="72"/>
      <c r="J16" s="73"/>
      <c r="K16" s="72"/>
      <c r="L16" s="72"/>
      <c r="M16" s="72" t="s">
        <v>59</v>
      </c>
      <c r="N16" s="72"/>
      <c r="O16" s="70" t="s">
        <v>60</v>
      </c>
      <c r="Q16" s="74" t="s">
        <v>61</v>
      </c>
      <c r="R16" s="74"/>
      <c r="S16" s="74"/>
      <c r="T16" s="74"/>
      <c r="U16" s="74"/>
      <c r="V16" s="74"/>
      <c r="W16" s="74"/>
      <c r="X16" s="74"/>
      <c r="Y16" s="74"/>
      <c r="Z16" s="74"/>
      <c r="AA16" s="70" t="s">
        <v>62</v>
      </c>
      <c r="AB16" s="70"/>
    </row>
    <row r="17" ht="26.25" customHeight="1" spans="1:24">
      <c r="A17" s="65"/>
      <c r="B17" s="65"/>
      <c r="C17" s="75"/>
      <c r="D17" s="75"/>
      <c r="E17" s="75"/>
      <c r="F17" s="75"/>
      <c r="G17" s="75"/>
      <c r="H17" s="75"/>
      <c r="I17" s="75"/>
      <c r="J17" s="65"/>
      <c r="K17" s="75"/>
      <c r="L17" s="75"/>
      <c r="M17" s="75"/>
      <c r="N17" s="75"/>
      <c r="O17" s="75"/>
      <c r="P17" s="75"/>
      <c r="Q17" s="75"/>
      <c r="R17" s="75"/>
      <c r="S17" s="76"/>
      <c r="T17" s="76"/>
      <c r="U17" s="76"/>
      <c r="V17" s="75"/>
      <c r="W17" s="65"/>
      <c r="X17" s="65"/>
    </row>
  </sheetData>
  <mergeCells count="4">
    <mergeCell ref="A1:AB1"/>
    <mergeCell ref="A2:AB2"/>
    <mergeCell ref="Q16:Z16"/>
    <mergeCell ref="AA16:AB16"/>
  </mergeCells>
  <pageMargins left="0.905511811023622" right="0.511811023622047" top="0.551181102362205" bottom="0.551181102362205" header="0.31496062992126" footer="0.31496062992126"/>
  <pageSetup paperSize="5" scale="10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swath</cp:lastModifiedBy>
  <dcterms:created xsi:type="dcterms:W3CDTF">2015-06-05T18:17:00Z</dcterms:created>
  <cp:lastPrinted>2026-05-15T07:58:00Z</cp:lastPrinted>
  <dcterms:modified xsi:type="dcterms:W3CDTF">2026-08-12T06:46:34Z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902A4EA585AF4A7EB64F5788D2AF1C9B_12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