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Non Teaching" sheetId="1" r:id="rId1"/>
    <sheet name="Teaching (2)" sheetId="2" state="hidden" r:id="rId2"/>
    <sheet name="Teaching (5)" sheetId="3" state="hidden" r:id="rId3"/>
    <sheet name="Teaching (3)" sheetId="4" state="hidden" r:id="rId4"/>
    <sheet name="Teaching (4)" sheetId="5" state="hidden" r:id="rId5"/>
  </sheets>
  <definedNames>
    <definedName name="_xlnm._FilterDatabase" localSheetId="1" hidden="1">'Teaching (2)'!$A$1:$F$160</definedName>
    <definedName name="_xlnm._FilterDatabase" localSheetId="2" hidden="1">'Teaching (5)'!$A$1:$F$136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0" hidden="1">'Non Teaching'!$Y$1:$Y$118</definedName>
    <definedName name="_xlnm.Print_Titles" localSheetId="0">'Non Teaching'!$3:$3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<sst xmlns="http://schemas.openxmlformats.org/spreadsheetml/2006/main" count="1376" uniqueCount="633">
  <si>
    <t>Sri Venkateswara College of Engineering and Technology</t>
  </si>
  <si>
    <t>Non Teaching - Salary Bill for the Month of July 2026</t>
  </si>
  <si>
    <t>Sl. No.</t>
  </si>
  <si>
    <t>D. 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</si>
  <si>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</si>
  <si>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</si>
  <si>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</si>
  <si>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</si>
  <si>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</si>
  <si>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</si>
  <si>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</si>
  <si>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</si>
  <si>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</si>
  <si>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</si>
  <si>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</si>
  <si>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</si>
  <si>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</si>
  <si>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</si>
  <si>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</si>
  <si>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</si>
  <si>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</si>
  <si>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</si>
  <si>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</si>
  <si>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</si>
  <si>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</si>
  <si>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</si>
  <si>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</si>
  <si>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</si>
  <si>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</si>
  <si>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</si>
  <si>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</si>
  <si>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NON-TEACHING STAFF</t>
  </si>
  <si>
    <t>Administrative Office</t>
  </si>
  <si>
    <t>M. Shameer Basha</t>
  </si>
  <si>
    <t>AO-II</t>
  </si>
  <si>
    <t>4017000402714022</t>
  </si>
  <si>
    <t>PUNB0401700</t>
  </si>
  <si>
    <t>K. Gajendrudu Naidu</t>
  </si>
  <si>
    <t>A.A.O</t>
  </si>
  <si>
    <t>4017000402717889</t>
  </si>
  <si>
    <t xml:space="preserve">T. R. Balasubramanyam </t>
  </si>
  <si>
    <t>820296142</t>
  </si>
  <si>
    <t>IDIB000C026</t>
  </si>
  <si>
    <t xml:space="preserve"> S. Sujith Kumar </t>
  </si>
  <si>
    <t xml:space="preserve"> AAO </t>
  </si>
  <si>
    <t>115910100003703</t>
  </si>
  <si>
    <t>UBIN0811599</t>
  </si>
  <si>
    <t>K. Padmaja</t>
  </si>
  <si>
    <t>Comp.Op</t>
  </si>
  <si>
    <t>4017000402714147</t>
  </si>
  <si>
    <t>K A Guru Murthy</t>
  </si>
  <si>
    <t>31020839780</t>
  </si>
  <si>
    <t>SBIN0002773</t>
  </si>
  <si>
    <t xml:space="preserve">M. Himabindu </t>
  </si>
  <si>
    <t>102010100107708</t>
  </si>
  <si>
    <t>UBIN0810207</t>
  </si>
  <si>
    <t>Vivekanand Adhikari</t>
  </si>
  <si>
    <t>IR Officer</t>
  </si>
  <si>
    <t>020201571933</t>
  </si>
  <si>
    <t>ICIC0000202</t>
  </si>
  <si>
    <t>M. Sonia</t>
  </si>
  <si>
    <t>Comp. Op</t>
  </si>
  <si>
    <t>008110100029215</t>
  </si>
  <si>
    <t>UBIN0800813</t>
  </si>
  <si>
    <t xml:space="preserve">Renuka K S </t>
  </si>
  <si>
    <t>Computer Op.</t>
  </si>
  <si>
    <t>4017000102799451</t>
  </si>
  <si>
    <t>T. R. Trivikram</t>
  </si>
  <si>
    <t>System Admin</t>
  </si>
  <si>
    <t>10494354688</t>
  </si>
  <si>
    <t>SBIN0007083</t>
  </si>
  <si>
    <t>H. Navya</t>
  </si>
  <si>
    <t>Office Executive</t>
  </si>
  <si>
    <t>50100404311302</t>
  </si>
  <si>
    <t>HDFC0002379</t>
  </si>
  <si>
    <t>M. Jhansi</t>
  </si>
  <si>
    <t>AO</t>
  </si>
  <si>
    <t>110114717794</t>
  </si>
  <si>
    <t>CNRB0000852</t>
  </si>
  <si>
    <t>Accounts Section</t>
  </si>
  <si>
    <t>S Bharath Kumar</t>
  </si>
  <si>
    <t>CA</t>
  </si>
  <si>
    <t>50100628599662</t>
  </si>
  <si>
    <t>DOJ: 23.07.2026</t>
  </si>
  <si>
    <t>K Vinod Kumar</t>
  </si>
  <si>
    <t>Sr. Executive Finance</t>
  </si>
  <si>
    <t>000201649242</t>
  </si>
  <si>
    <t>ICIC0000002</t>
  </si>
  <si>
    <t>K Hemalatha</t>
  </si>
  <si>
    <t>Accountant</t>
  </si>
  <si>
    <t>4017000102778731</t>
  </si>
  <si>
    <t xml:space="preserve">V Balakrishna </t>
  </si>
  <si>
    <t>105901000008424</t>
  </si>
  <si>
    <t>IOBA0001059</t>
  </si>
  <si>
    <t>A Bhagavathi</t>
  </si>
  <si>
    <t>DCB Record Asst.</t>
  </si>
  <si>
    <t>174110100122789</t>
  </si>
  <si>
    <t>UBIN0817414</t>
  </si>
  <si>
    <t>G Gayathri</t>
  </si>
  <si>
    <t>50100595208310</t>
  </si>
  <si>
    <t>K Deepthi</t>
  </si>
  <si>
    <t>Cashier &amp; Comp.Op</t>
  </si>
  <si>
    <t>110168085472</t>
  </si>
  <si>
    <t>CNRB0013182</t>
  </si>
  <si>
    <t>G E Adikesavulu</t>
  </si>
  <si>
    <t>Accounts  Assistant</t>
  </si>
  <si>
    <t>SBIN0000825</t>
  </si>
  <si>
    <t xml:space="preserve">I Suleha Siddhika </t>
  </si>
  <si>
    <t>32320100002415</t>
  </si>
  <si>
    <t>BARB0CHITAP</t>
  </si>
  <si>
    <t>V. Ravindra Reddy</t>
  </si>
  <si>
    <t>Office Assistant</t>
  </si>
  <si>
    <t xml:space="preserve">D. Vidya Sagar </t>
  </si>
  <si>
    <t>Sr. Accountant</t>
  </si>
  <si>
    <t>153910021020002</t>
  </si>
  <si>
    <t>UBIN0815390</t>
  </si>
  <si>
    <t>MEDIA</t>
  </si>
  <si>
    <t xml:space="preserve">Swethak KVS </t>
  </si>
  <si>
    <t>Growth &amp; Strategy Lead</t>
  </si>
  <si>
    <t>0649101045988</t>
  </si>
  <si>
    <t>CNRB0013013</t>
  </si>
  <si>
    <t>(Aug &amp; Sep)</t>
  </si>
  <si>
    <t>C. Satheesh</t>
  </si>
  <si>
    <t>Graphic Designer</t>
  </si>
  <si>
    <t>1522500100963901</t>
  </si>
  <si>
    <t>KARB0000220</t>
  </si>
  <si>
    <t>C. Navadeep Kumar</t>
  </si>
  <si>
    <t>564310054392024</t>
  </si>
  <si>
    <t>UBIN0CG7999</t>
  </si>
  <si>
    <t>B. Prudhvi Raj</t>
  </si>
  <si>
    <t>GRA</t>
  </si>
  <si>
    <t>6371392445</t>
  </si>
  <si>
    <t>Mrs. Deepthi Dadi </t>
  </si>
  <si>
    <t>006901551227</t>
  </si>
  <si>
    <t>ICIC0000069</t>
  </si>
  <si>
    <t>T. Mohan Kumar</t>
  </si>
  <si>
    <t>Editor</t>
  </si>
  <si>
    <t>SBIN0012727</t>
  </si>
  <si>
    <t>V. Bhargav</t>
  </si>
  <si>
    <t>43437603232</t>
  </si>
  <si>
    <t>SBIN0001738</t>
  </si>
  <si>
    <t>Exam Section</t>
  </si>
  <si>
    <t>P Shoba Rani</t>
  </si>
  <si>
    <t>2117010060233</t>
  </si>
  <si>
    <t>PUNB0211720</t>
  </si>
  <si>
    <t>R Hari Krishna</t>
  </si>
  <si>
    <t>Jr.Asst</t>
  </si>
  <si>
    <t>4017000402713971</t>
  </si>
  <si>
    <t>Lokesh Yadav K</t>
  </si>
  <si>
    <t>091610100053513</t>
  </si>
  <si>
    <t>UBIN0809161</t>
  </si>
  <si>
    <t>Library</t>
  </si>
  <si>
    <t xml:space="preserve">K Sreenivasulu </t>
  </si>
  <si>
    <t>Asst.Librarian</t>
  </si>
  <si>
    <t>6265869747</t>
  </si>
  <si>
    <t>IDIB000K009</t>
  </si>
  <si>
    <t xml:space="preserve">V. Sumalatha </t>
  </si>
  <si>
    <t>640110010132867</t>
  </si>
  <si>
    <t>T.Nagarajan</t>
  </si>
  <si>
    <t>Binder</t>
  </si>
  <si>
    <t>4017000402722261</t>
  </si>
  <si>
    <t>Maintenance</t>
  </si>
  <si>
    <t xml:space="preserve">G Gandhi </t>
  </si>
  <si>
    <t>37852982233</t>
  </si>
  <si>
    <t>Departmental Staff</t>
  </si>
  <si>
    <t>CE</t>
  </si>
  <si>
    <t>S. Noorulla</t>
  </si>
  <si>
    <t>Comp. Opt</t>
  </si>
  <si>
    <t>4017000102778041</t>
  </si>
  <si>
    <t>EEE</t>
  </si>
  <si>
    <t>S.Jaya Kumar</t>
  </si>
  <si>
    <t>Lab_Tech</t>
  </si>
  <si>
    <t>4017000402714314</t>
  </si>
  <si>
    <t xml:space="preserve">V Giri Babu </t>
  </si>
  <si>
    <t>4017000402715757</t>
  </si>
  <si>
    <t xml:space="preserve">P Sreeramulachetty </t>
  </si>
  <si>
    <t>4017000402714916</t>
  </si>
  <si>
    <t>B. Kalyani</t>
  </si>
  <si>
    <t>37069078486</t>
  </si>
  <si>
    <t>SBIN0016483</t>
  </si>
  <si>
    <t>ME</t>
  </si>
  <si>
    <t>M.Venkatesh</t>
  </si>
  <si>
    <t>4017000402715456</t>
  </si>
  <si>
    <t>A.G.Surendra Babu</t>
  </si>
  <si>
    <t>4017000402715049</t>
  </si>
  <si>
    <t>K R Subramanyan</t>
  </si>
  <si>
    <t>4017000402721998</t>
  </si>
  <si>
    <t>P Khader Khan</t>
  </si>
  <si>
    <t>30405103800</t>
  </si>
  <si>
    <t xml:space="preserve">A Govindarajulu </t>
  </si>
  <si>
    <t>20320588601</t>
  </si>
  <si>
    <t>SBIN0013176</t>
  </si>
  <si>
    <t>ECE</t>
  </si>
  <si>
    <t>P.Subramanyam</t>
  </si>
  <si>
    <t>4017000402715012</t>
  </si>
  <si>
    <t>August</t>
  </si>
  <si>
    <t>V. Gireesh</t>
  </si>
  <si>
    <t>32320100011756</t>
  </si>
  <si>
    <t>M. Sirisha</t>
  </si>
  <si>
    <t>Comp.Op / Lab_Tech</t>
  </si>
  <si>
    <t>110176763825</t>
  </si>
  <si>
    <t>CNRB0003735</t>
  </si>
  <si>
    <t>CSE</t>
  </si>
  <si>
    <t>B. Bhanu Priya</t>
  </si>
  <si>
    <t>110137053983</t>
  </si>
  <si>
    <t>CNRB0013170</t>
  </si>
  <si>
    <t>N.Murali Krishna</t>
  </si>
  <si>
    <t>4017000402716835</t>
  </si>
  <si>
    <t xml:space="preserve">Saddam Hussain </t>
  </si>
  <si>
    <t>16730100038961</t>
  </si>
  <si>
    <t>FDRL0001673</t>
  </si>
  <si>
    <t>M. Sandeep</t>
  </si>
  <si>
    <t>41584710293</t>
  </si>
  <si>
    <t>SBIN0015100</t>
  </si>
  <si>
    <t>K. Karthikeyan</t>
  </si>
  <si>
    <t>920010072748855</t>
  </si>
  <si>
    <t>UTIB0004379</t>
  </si>
  <si>
    <t>P. Sai Balaji</t>
  </si>
  <si>
    <t>110212599272</t>
  </si>
  <si>
    <t>CNRB0003736</t>
  </si>
  <si>
    <t xml:space="preserve">Jaya Saranya </t>
  </si>
  <si>
    <t>867010510004669</t>
  </si>
  <si>
    <t>BKID0008670</t>
  </si>
  <si>
    <t xml:space="preserve">C. Dileep Kumar </t>
  </si>
  <si>
    <t>32392250009792</t>
  </si>
  <si>
    <t>CNRB0013239</t>
  </si>
  <si>
    <t>G. Dilli Babu</t>
  </si>
  <si>
    <t>32320100014300</t>
  </si>
  <si>
    <t>DOJ: 03.07.2026</t>
  </si>
  <si>
    <t>CSM</t>
  </si>
  <si>
    <t>D Deepa</t>
  </si>
  <si>
    <t>644710011523488</t>
  </si>
  <si>
    <t>CSD</t>
  </si>
  <si>
    <t xml:space="preserve">R Vaishnavi </t>
  </si>
  <si>
    <t>867010110010076</t>
  </si>
  <si>
    <t>N. Sarala</t>
  </si>
  <si>
    <t>50033308583</t>
  </si>
  <si>
    <t>IDIB0SGB001</t>
  </si>
  <si>
    <t>DOJ: 25.07.2026</t>
  </si>
  <si>
    <t>MCA</t>
  </si>
  <si>
    <t>K. M. Geetha Kumari</t>
  </si>
  <si>
    <t>SBIN0013242</t>
  </si>
  <si>
    <t>HAS</t>
  </si>
  <si>
    <t xml:space="preserve">P Kiran Kumar </t>
  </si>
  <si>
    <t>102010100049811</t>
  </si>
  <si>
    <t xml:space="preserve">J. Jagdeesh </t>
  </si>
  <si>
    <t>520101262459944</t>
  </si>
  <si>
    <t>UBIN0900346</t>
  </si>
  <si>
    <t xml:space="preserve">G Manjula </t>
  </si>
  <si>
    <t>229310100022425</t>
  </si>
  <si>
    <t>UBIN0822931</t>
  </si>
  <si>
    <t>B Haritha</t>
  </si>
  <si>
    <t>6533351711</t>
  </si>
  <si>
    <t>D. Shobha Rani</t>
  </si>
  <si>
    <t>50100329857025</t>
  </si>
  <si>
    <t>HDFC0000694</t>
  </si>
  <si>
    <t>A. Swapna</t>
  </si>
  <si>
    <t>Lab_Asst.</t>
  </si>
  <si>
    <t>84220100023515</t>
  </si>
  <si>
    <t>BARB0VJCHIT</t>
  </si>
  <si>
    <t>TAP</t>
  </si>
  <si>
    <t>K.Mohan</t>
  </si>
  <si>
    <t>19572041000083</t>
  </si>
  <si>
    <t>PUNB0195710</t>
  </si>
  <si>
    <t>Bishal Kumar Sha</t>
  </si>
  <si>
    <t>Executive Assistant</t>
  </si>
  <si>
    <t>4017000102799956</t>
  </si>
  <si>
    <t>Electrician</t>
  </si>
  <si>
    <t>S Giri Babu</t>
  </si>
  <si>
    <t>975000783</t>
  </si>
  <si>
    <t>IDIB000C065</t>
  </si>
  <si>
    <t>K  Thulasi Ram</t>
  </si>
  <si>
    <t>4017000402714590</t>
  </si>
  <si>
    <t>J Hema Kumar</t>
  </si>
  <si>
    <t>8112010000753</t>
  </si>
  <si>
    <t>M Naveen Kumar</t>
  </si>
  <si>
    <t>42263148388</t>
  </si>
  <si>
    <t>HOSTEL</t>
  </si>
  <si>
    <t>C Chithra</t>
  </si>
  <si>
    <t>Care Taker</t>
  </si>
  <si>
    <t>1401192000016240</t>
  </si>
  <si>
    <t>KVBL0001401</t>
  </si>
  <si>
    <t xml:space="preserve">M.Satish </t>
  </si>
  <si>
    <t>Gym Trainer</t>
  </si>
  <si>
    <t>4017000102776043</t>
  </si>
  <si>
    <t>Ujwal Kanth</t>
  </si>
  <si>
    <t>0569000100384734</t>
  </si>
  <si>
    <t>PUNB0056900</t>
  </si>
  <si>
    <t>Gowtham Kumar</t>
  </si>
  <si>
    <t>5909000400002991</t>
  </si>
  <si>
    <t>PUNB0590900</t>
  </si>
  <si>
    <t>Dilkhush Kumar</t>
  </si>
  <si>
    <t>624502120000924</t>
  </si>
  <si>
    <t>UBIN0562459</t>
  </si>
  <si>
    <t>R Govindarajulu</t>
  </si>
  <si>
    <t>Store Incharge</t>
  </si>
  <si>
    <t>4017000402717922</t>
  </si>
  <si>
    <t>T. Radhika</t>
  </si>
  <si>
    <t>45188998032</t>
  </si>
  <si>
    <t>SBIN0006515</t>
  </si>
  <si>
    <t>B Santhosh</t>
  </si>
  <si>
    <t>4017000102783982</t>
  </si>
  <si>
    <t>Grand Total</t>
  </si>
  <si>
    <t>Prepared By</t>
  </si>
  <si>
    <t>Verified By</t>
  </si>
  <si>
    <t xml:space="preserve">    HR</t>
  </si>
  <si>
    <t>Accounts Officer</t>
  </si>
  <si>
    <t>Principal</t>
  </si>
  <si>
    <t>Vice Chairman</t>
  </si>
  <si>
    <t>Sri Venkateswara College Of Engineering and Technology</t>
  </si>
  <si>
    <t>Salary Bill for the Month of May 2021</t>
  </si>
  <si>
    <t>S No</t>
  </si>
  <si>
    <t>TEACHING STAFF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</si>
  <si>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</si>
  <si>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</si>
  <si>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</si>
  <si>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</si>
  <si>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</si>
  <si>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</si>
  <si>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</si>
  <si>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</si>
  <si>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Asst.Prof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</si>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</sst>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31">
    <font>
      <sz val="11"/>
      <name val="Calibri"/>
      <charset val="134"/>
      <scheme val="minor"/>
    </font>
    <font>
      <b/>
      <sz val="10"/>
      <color rgb="FF17365D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rgb="FF506070"/>
      <name val="Effra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0"/>
      <color rgb="FF17365D"/>
      <name val="Times New Roman"/>
      <charset val="134"/>
    </font>
    <font>
      <b/>
      <sz val="10"/>
      <name val="Times New Roman"/>
      <charset val="134"/>
    </font>
    <font>
      <sz val="10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23" fillId="13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vertical="center" wrapText="1"/>
    </xf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78" fontId="2" fillId="4" borderId="0" xfId="0" applyNumberFormat="1" applyFont="1" applyFill="1" applyAlignment="1">
      <alignment horizontal="center" vertical="center" wrapText="1"/>
    </xf>
    <xf numFmtId="4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8" fontId="2" fillId="4" borderId="0" xfId="0" applyNumberFormat="1" applyFont="1" applyFill="1" applyAlignment="1">
      <alignment vertical="center" wrapText="1"/>
    </xf>
    <xf numFmtId="178" fontId="2" fillId="4" borderId="0" xfId="0" applyNumberFormat="1" applyFont="1" applyFill="1" applyAlignment="1">
      <alignment horizontal="left" vertical="center" wrapText="1"/>
    </xf>
    <xf numFmtId="178" fontId="3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78" fontId="2" fillId="0" borderId="0" xfId="0" applyNumberFormat="1" applyFont="1" applyAlignment="1">
      <alignment horizontal="left" vertical="center" wrapText="1"/>
    </xf>
    <xf numFmtId="0" fontId="5" fillId="0" borderId="0" xfId="0" applyFont="1" applyFill="1"/>
    <xf numFmtId="0" fontId="6" fillId="0" borderId="0" xfId="0" applyFont="1" applyFill="1"/>
    <xf numFmtId="0" fontId="6" fillId="5" borderId="0" xfId="0" applyFont="1" applyFill="1"/>
    <xf numFmtId="178" fontId="6" fillId="0" borderId="0" xfId="0" applyNumberFormat="1" applyFont="1" applyAlignment="1">
      <alignment vertical="center" wrapText="1"/>
    </xf>
    <xf numFmtId="0" fontId="7" fillId="0" borderId="0" xfId="0" applyFont="1"/>
    <xf numFmtId="0" fontId="6" fillId="0" borderId="0" xfId="0" applyFont="1" applyFill="1" applyAlignment="1">
      <alignment vertical="center"/>
    </xf>
    <xf numFmtId="0" fontId="7" fillId="0" borderId="0" xfId="0" applyFont="1" applyFill="1"/>
    <xf numFmtId="0" fontId="5" fillId="0" borderId="0" xfId="0" applyFont="1"/>
    <xf numFmtId="0" fontId="6" fillId="6" borderId="0" xfId="0" applyFont="1" applyFill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43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178" fontId="9" fillId="0" borderId="8" xfId="0" applyNumberFormat="1" applyFont="1" applyBorder="1" applyAlignment="1">
      <alignment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43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8" fontId="9" fillId="0" borderId="8" xfId="0" applyNumberFormat="1" applyFont="1" applyBorder="1" applyAlignment="1">
      <alignment horizontal="center" vertical="center"/>
    </xf>
    <xf numFmtId="178" fontId="9" fillId="7" borderId="8" xfId="0" applyNumberFormat="1" applyFont="1" applyFill="1" applyBorder="1" applyAlignment="1">
      <alignment vertical="center" wrapText="1"/>
    </xf>
    <xf numFmtId="178" fontId="6" fillId="0" borderId="8" xfId="0" applyNumberFormat="1" applyFont="1" applyBorder="1" applyAlignment="1">
      <alignment vertical="center" wrapText="1"/>
    </xf>
    <xf numFmtId="43" fontId="6" fillId="0" borderId="8" xfId="0" applyNumberFormat="1" applyFont="1" applyBorder="1" applyAlignment="1">
      <alignment horizontal="center" vertical="center" wrapText="1"/>
    </xf>
    <xf numFmtId="178" fontId="6" fillId="0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vertical="center" wrapText="1"/>
    </xf>
    <xf numFmtId="178" fontId="6" fillId="0" borderId="8" xfId="0" applyNumberFormat="1" applyFont="1" applyFill="1" applyBorder="1" applyAlignment="1">
      <alignment horizontal="center" vertical="center" wrapText="1"/>
    </xf>
    <xf numFmtId="43" fontId="6" fillId="0" borderId="8" xfId="0" applyNumberFormat="1" applyFont="1" applyFill="1" applyBorder="1" applyAlignment="1">
      <alignment horizontal="center" vertical="center" wrapText="1"/>
    </xf>
    <xf numFmtId="43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78" fontId="6" fillId="5" borderId="8" xfId="0" applyNumberFormat="1" applyFont="1" applyFill="1" applyBorder="1" applyAlignment="1">
      <alignment vertical="center" wrapText="1"/>
    </xf>
    <xf numFmtId="178" fontId="6" fillId="5" borderId="8" xfId="0" applyNumberFormat="1" applyFont="1" applyFill="1" applyBorder="1" applyAlignment="1">
      <alignment horizontal="center" vertical="center" wrapText="1"/>
    </xf>
    <xf numFmtId="178" fontId="6" fillId="5" borderId="8" xfId="0" applyNumberFormat="1" applyFont="1" applyFill="1" applyBorder="1" applyAlignment="1">
      <alignment horizontal="center" vertical="center"/>
    </xf>
    <xf numFmtId="43" fontId="6" fillId="5" borderId="8" xfId="0" applyNumberFormat="1" applyFont="1" applyFill="1" applyBorder="1" applyAlignment="1">
      <alignment horizontal="center" vertical="center" wrapText="1"/>
    </xf>
    <xf numFmtId="43" fontId="6" fillId="5" borderId="8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78" fontId="6" fillId="8" borderId="8" xfId="0" applyNumberFormat="1" applyFont="1" applyFill="1" applyBorder="1" applyAlignment="1">
      <alignment horizontal="center" vertical="center"/>
    </xf>
    <xf numFmtId="178" fontId="6" fillId="8" borderId="8" xfId="0" applyNumberFormat="1" applyFont="1" applyFill="1" applyBorder="1" applyAlignment="1">
      <alignment vertical="center" wrapText="1"/>
    </xf>
    <xf numFmtId="178" fontId="6" fillId="3" borderId="8" xfId="0" applyNumberFormat="1" applyFont="1" applyFill="1" applyBorder="1" applyAlignment="1">
      <alignment horizontal="center" vertical="center" wrapText="1"/>
    </xf>
    <xf numFmtId="178" fontId="6" fillId="3" borderId="8" xfId="0" applyNumberFormat="1" applyFont="1" applyFill="1" applyBorder="1" applyAlignment="1">
      <alignment vertical="center" wrapText="1"/>
    </xf>
    <xf numFmtId="43" fontId="6" fillId="8" borderId="8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178" fontId="6" fillId="9" borderId="8" xfId="0" applyNumberFormat="1" applyFont="1" applyFill="1" applyBorder="1" applyAlignment="1">
      <alignment horizontal="center" vertical="center"/>
    </xf>
    <xf numFmtId="178" fontId="6" fillId="9" borderId="8" xfId="0" applyNumberFormat="1" applyFont="1" applyFill="1" applyBorder="1" applyAlignment="1">
      <alignment vertical="center" wrapText="1"/>
    </xf>
    <xf numFmtId="178" fontId="6" fillId="9" borderId="8" xfId="0" applyNumberFormat="1" applyFont="1" applyFill="1" applyBorder="1" applyAlignment="1">
      <alignment horizontal="center" vertical="center" wrapText="1"/>
    </xf>
    <xf numFmtId="43" fontId="6" fillId="9" borderId="8" xfId="0" applyNumberFormat="1" applyFont="1" applyFill="1" applyBorder="1" applyAlignment="1">
      <alignment horizontal="center" vertical="center" wrapText="1"/>
    </xf>
    <xf numFmtId="43" fontId="6" fillId="9" borderId="8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78" fontId="7" fillId="6" borderId="8" xfId="0" applyNumberFormat="1" applyFont="1" applyFill="1" applyBorder="1" applyAlignment="1">
      <alignment horizontal="left" vertical="center" wrapText="1"/>
    </xf>
    <xf numFmtId="178" fontId="7" fillId="6" borderId="8" xfId="0" applyNumberFormat="1" applyFont="1" applyFill="1" applyBorder="1" applyAlignment="1">
      <alignment horizontal="center" vertical="center" wrapText="1"/>
    </xf>
    <xf numFmtId="43" fontId="7" fillId="0" borderId="8" xfId="0" applyNumberFormat="1" applyFont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vertical="center" wrapText="1"/>
    </xf>
    <xf numFmtId="178" fontId="7" fillId="0" borderId="8" xfId="0" applyNumberFormat="1" applyFont="1" applyFill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horizontal="center" vertical="center"/>
    </xf>
    <xf numFmtId="43" fontId="7" fillId="0" borderId="8" xfId="0" applyNumberFormat="1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78" fontId="9" fillId="0" borderId="8" xfId="49" applyNumberFormat="1" applyFont="1" applyBorder="1" applyAlignment="1">
      <alignment horizontal="center" vertical="center"/>
    </xf>
    <xf numFmtId="178" fontId="6" fillId="0" borderId="8" xfId="49" applyNumberFormat="1" applyFont="1" applyBorder="1" applyAlignment="1">
      <alignment horizontal="center" vertical="center"/>
    </xf>
    <xf numFmtId="178" fontId="9" fillId="7" borderId="8" xfId="49" applyNumberFormat="1" applyFont="1" applyFill="1" applyBorder="1" applyAlignment="1">
      <alignment vertical="center" wrapText="1"/>
    </xf>
    <xf numFmtId="178" fontId="6" fillId="0" borderId="8" xfId="49" applyNumberFormat="1" applyFont="1" applyBorder="1" applyAlignment="1">
      <alignment horizontal="center" vertical="center" wrapText="1"/>
    </xf>
    <xf numFmtId="176" fontId="9" fillId="0" borderId="8" xfId="49" applyNumberFormat="1" applyFont="1" applyBorder="1" applyAlignment="1">
      <alignment horizontal="center" vertical="center" wrapText="1"/>
    </xf>
    <xf numFmtId="176" fontId="6" fillId="0" borderId="8" xfId="49" applyNumberFormat="1" applyFont="1" applyBorder="1" applyAlignment="1">
      <alignment horizontal="center" vertical="center"/>
    </xf>
    <xf numFmtId="0" fontId="6" fillId="0" borderId="8" xfId="49" applyFont="1" applyBorder="1" applyAlignment="1">
      <alignment horizontal="center" vertical="center"/>
    </xf>
    <xf numFmtId="178" fontId="7" fillId="9" borderId="8" xfId="0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178" fontId="7" fillId="6" borderId="8" xfId="0" applyNumberFormat="1" applyFont="1" applyFill="1" applyBorder="1" applyAlignment="1">
      <alignment horizontal="center" vertical="center"/>
    </xf>
    <xf numFmtId="178" fontId="6" fillId="6" borderId="8" xfId="0" applyNumberFormat="1" applyFont="1" applyFill="1" applyBorder="1" applyAlignment="1">
      <alignment horizontal="center" vertical="center"/>
    </xf>
    <xf numFmtId="178" fontId="7" fillId="0" borderId="8" xfId="0" applyNumberFormat="1" applyFont="1" applyBorder="1" applyAlignment="1">
      <alignment vertical="center" wrapText="1"/>
    </xf>
    <xf numFmtId="178" fontId="7" fillId="0" borderId="8" xfId="0" applyNumberFormat="1" applyFont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/>
    </xf>
    <xf numFmtId="178" fontId="6" fillId="6" borderId="8" xfId="0" applyNumberFormat="1" applyFont="1" applyFill="1" applyBorder="1" applyAlignment="1">
      <alignment horizontal="left" vertical="center"/>
    </xf>
    <xf numFmtId="43" fontId="6" fillId="6" borderId="8" xfId="0" applyNumberFormat="1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43" fontId="6" fillId="0" borderId="8" xfId="0" applyNumberFormat="1" applyFont="1" applyBorder="1" applyAlignment="1">
      <alignment horizontal="left" vertical="center"/>
    </xf>
    <xf numFmtId="1" fontId="6" fillId="0" borderId="8" xfId="49" applyNumberFormat="1" applyFont="1" applyBorder="1" applyAlignment="1">
      <alignment horizontal="center" vertical="center"/>
    </xf>
    <xf numFmtId="43" fontId="6" fillId="0" borderId="8" xfId="0" applyNumberFormat="1" applyFont="1" applyFill="1" applyBorder="1" applyAlignment="1">
      <alignment horizontal="left" vertical="center"/>
    </xf>
    <xf numFmtId="178" fontId="6" fillId="0" borderId="8" xfId="0" applyNumberFormat="1" applyFont="1" applyFill="1" applyBorder="1" applyAlignment="1">
      <alignment horizontal="left" vertical="center"/>
    </xf>
    <xf numFmtId="43" fontId="7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43" fontId="9" fillId="0" borderId="8" xfId="0" applyNumberFormat="1" applyFont="1" applyBorder="1" applyAlignment="1">
      <alignment horizontal="center" vertical="center"/>
    </xf>
    <xf numFmtId="178" fontId="6" fillId="6" borderId="8" xfId="0" applyNumberFormat="1" applyFont="1" applyFill="1" applyBorder="1" applyAlignment="1">
      <alignment vertical="center" wrapText="1"/>
    </xf>
    <xf numFmtId="178" fontId="6" fillId="6" borderId="8" xfId="0" applyNumberFormat="1" applyFont="1" applyFill="1" applyBorder="1" applyAlignment="1">
      <alignment horizontal="center" vertical="center" wrapText="1"/>
    </xf>
    <xf numFmtId="43" fontId="6" fillId="6" borderId="8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178" fontId="9" fillId="0" borderId="8" xfId="0" applyNumberFormat="1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43" fontId="6" fillId="6" borderId="8" xfId="0" applyNumberFormat="1" applyFont="1" applyFill="1" applyBorder="1" applyAlignment="1">
      <alignment horizontal="center" vertical="center"/>
    </xf>
    <xf numFmtId="176" fontId="6" fillId="0" borderId="8" xfId="50" applyNumberFormat="1" applyFont="1" applyBorder="1" applyAlignment="1">
      <alignment horizontal="left" vertical="center"/>
    </xf>
    <xf numFmtId="176" fontId="6" fillId="6" borderId="8" xfId="50" applyNumberFormat="1" applyFont="1" applyFill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vertical="center" wrapText="1"/>
    </xf>
    <xf numFmtId="178" fontId="9" fillId="0" borderId="0" xfId="0" applyNumberFormat="1" applyFont="1" applyAlignment="1">
      <alignment horizontal="center" vertical="center" wrapText="1"/>
    </xf>
    <xf numFmtId="43" fontId="9" fillId="0" borderId="0" xfId="0" applyNumberFormat="1" applyFont="1" applyAlignment="1">
      <alignment horizontal="center" vertical="center"/>
    </xf>
    <xf numFmtId="178" fontId="9" fillId="0" borderId="1" xfId="0" applyNumberFormat="1" applyFont="1" applyBorder="1" applyAlignment="1">
      <alignment horizontal="center"/>
    </xf>
    <xf numFmtId="178" fontId="9" fillId="0" borderId="1" xfId="0" applyNumberFormat="1" applyFont="1" applyBorder="1" applyAlignment="1"/>
    <xf numFmtId="178" fontId="9" fillId="0" borderId="1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vertical="center"/>
    </xf>
    <xf numFmtId="178" fontId="9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9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78" fontId="9" fillId="0" borderId="0" xfId="0" applyNumberFormat="1" applyFont="1" applyAlignment="1">
      <alignment horizontal="center" vertical="top"/>
    </xf>
    <xf numFmtId="178" fontId="9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43" fontId="6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43" fontId="6" fillId="0" borderId="8" xfId="0" applyNumberFormat="1" applyFont="1" applyBorder="1" applyAlignment="1" quotePrefix="1">
      <alignment horizontal="center" vertical="center"/>
    </xf>
    <xf numFmtId="43" fontId="6" fillId="0" borderId="8" xfId="0" applyNumberFormat="1" applyFont="1" applyFill="1" applyBorder="1" applyAlignment="1" quotePrefix="1">
      <alignment horizontal="center" vertical="center"/>
    </xf>
    <xf numFmtId="43" fontId="6" fillId="5" borderId="8" xfId="0" applyNumberFormat="1" applyFont="1" applyFill="1" applyBorder="1" applyAlignment="1" quotePrefix="1">
      <alignment horizontal="center" vertical="center"/>
    </xf>
    <xf numFmtId="43" fontId="6" fillId="9" borderId="8" xfId="0" applyNumberFormat="1" applyFont="1" applyFill="1" applyBorder="1" applyAlignment="1" quotePrefix="1">
      <alignment horizontal="center" vertical="center"/>
    </xf>
    <xf numFmtId="0" fontId="6" fillId="0" borderId="8" xfId="0" applyFont="1" applyBorder="1" applyAlignment="1" quotePrefix="1">
      <alignment horizontal="center" wrapText="1"/>
    </xf>
    <xf numFmtId="0" fontId="6" fillId="9" borderId="8" xfId="0" applyFont="1" applyFill="1" applyBorder="1" applyAlignment="1" quotePrefix="1">
      <alignment horizontal="center" vertical="center" wrapText="1"/>
    </xf>
    <xf numFmtId="0" fontId="7" fillId="0" borderId="8" xfId="0" applyFont="1" applyBorder="1" applyAlignment="1" quotePrefix="1">
      <alignment horizontal="center" vertical="center"/>
    </xf>
    <xf numFmtId="43" fontId="6" fillId="0" borderId="8" xfId="0" applyNumberFormat="1" applyFont="1" applyBorder="1" applyAlignment="1" quotePrefix="1">
      <alignment horizontal="left" vertical="center"/>
    </xf>
    <xf numFmtId="1" fontId="6" fillId="0" borderId="8" xfId="49" applyNumberFormat="1" applyFont="1" applyBorder="1" applyAlignment="1" quotePrefix="1">
      <alignment horizontal="center" vertical="center"/>
    </xf>
    <xf numFmtId="43" fontId="7" fillId="0" borderId="8" xfId="0" applyNumberFormat="1" applyFont="1" applyBorder="1" applyAlignment="1" quotePrefix="1">
      <alignment horizontal="center" vertical="center"/>
    </xf>
    <xf numFmtId="176" fontId="6" fillId="0" borderId="8" xfId="0" applyNumberFormat="1" applyFont="1" applyBorder="1" applyAlignment="1" quotePrefix="1">
      <alignment horizontal="center" vertical="center"/>
    </xf>
    <xf numFmtId="0" fontId="6" fillId="0" borderId="8" xfId="0" applyFont="1" applyBorder="1" applyAlignment="1" quotePrefix="1">
      <alignment horizontal="center" vertical="center" wrapText="1"/>
    </xf>
    <xf numFmtId="0" fontId="6" fillId="0" borderId="8" xfId="0" applyFont="1" applyBorder="1" applyAlignment="1" quotePrefix="1">
      <alignment horizontal="center" vertical="center"/>
    </xf>
    <xf numFmtId="178" fontId="6" fillId="9" borderId="8" xfId="0" applyNumberFormat="1" applyFont="1" applyFill="1" applyBorder="1" applyAlignment="1" quotePrefix="1">
      <alignment horizontal="center" vertical="center"/>
    </xf>
    <xf numFmtId="178" fontId="6" fillId="0" borderId="8" xfId="0" applyNumberFormat="1" applyFont="1" applyBorder="1" applyAlignment="1" quotePrefix="1">
      <alignment horizontal="center" vertical="center"/>
    </xf>
    <xf numFmtId="0" fontId="6" fillId="5" borderId="8" xfId="0" applyFont="1" applyFill="1" applyBorder="1" applyAlignment="1" quotePrefix="1">
      <alignment horizontal="center" vertical="center"/>
    </xf>
    <xf numFmtId="0" fontId="6" fillId="6" borderId="8" xfId="0" applyFont="1" applyFill="1" applyBorder="1" applyAlignment="1" quotePrefix="1">
      <alignment horizontal="center" vertical="center"/>
    </xf>
    <xf numFmtId="43" fontId="6" fillId="6" borderId="8" xfId="0" applyNumberFormat="1" applyFont="1" applyFill="1" applyBorder="1" applyAlignment="1" quotePrefix="1">
      <alignment horizontal="left" vertical="center"/>
    </xf>
    <xf numFmtId="43" fontId="6" fillId="6" borderId="8" xfId="0" applyNumberFormat="1" applyFont="1" applyFill="1" applyBorder="1" applyAlignment="1" quotePrefix="1">
      <alignment horizontal="center" vertical="center"/>
    </xf>
    <xf numFmtId="176" fontId="6" fillId="0" borderId="8" xfId="50" applyNumberFormat="1" applyFont="1" applyBorder="1" applyAlignment="1" quotePrefix="1">
      <alignment horizontal="left" vertical="center"/>
    </xf>
    <xf numFmtId="176" fontId="6" fillId="6" borderId="8" xfId="50" applyNumberFormat="1" applyFont="1" applyFill="1" applyBorder="1" applyAlignment="1" quotePrefix="1">
      <alignment horizontal="center" vertical="center"/>
    </xf>
    <xf numFmtId="43" fontId="2" fillId="0" borderId="0" xfId="0" applyNumberFormat="1" applyFont="1" applyAlignment="1" quotePrefix="1">
      <alignment horizontal="center" vertical="center"/>
    </xf>
    <xf numFmtId="43" fontId="2" fillId="4" borderId="0" xfId="0" applyNumberFormat="1" applyFont="1" applyFill="1" applyAlignment="1" quotePrefix="1">
      <alignment horizontal="center" vertical="center"/>
    </xf>
    <xf numFmtId="0" fontId="4" fillId="0" borderId="0" xfId="0" applyFont="1" quotePrefix="1"/>
    <xf numFmtId="178" fontId="2" fillId="0" borderId="0" xfId="0" applyNumberFormat="1" applyFont="1" applyAlignment="1" quotePrefix="1">
      <alignment horizontal="center" vertical="center"/>
    </xf>
    <xf numFmtId="178" fontId="2" fillId="2" borderId="0" xfId="0" applyNumberFormat="1" applyFont="1" applyFill="1" applyAlignment="1" quotePrefix="1">
      <alignment horizontal="center" vertical="center"/>
    </xf>
    <xf numFmtId="178" fontId="2" fillId="4" borderId="0" xfId="0" applyNumberFormat="1" applyFont="1" applyFill="1" applyAlignment="1" quotePrefix="1">
      <alignment horizontal="center" vertical="center"/>
    </xf>
    <xf numFmtId="178" fontId="2" fillId="3" borderId="0" xfId="0" applyNumberFormat="1" applyFont="1" applyFill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FF"/>
      <color rgb="00FF6600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18"/>
  <sheetViews>
    <sheetView tabSelected="1" zoomScale="90" zoomScaleNormal="90" topLeftCell="A92" workbookViewId="0">
      <selection activeCell="Q113" sqref="Q113"/>
    </sheetView>
  </sheetViews>
  <sheetFormatPr defaultColWidth="14.4272727272727" defaultRowHeight="15" customHeight="1"/>
  <cols>
    <col min="1" max="1" width="5.28181818181818" style="51" customWidth="1"/>
    <col min="2" max="2" width="5.85454545454545" style="52" customWidth="1"/>
    <col min="3" max="3" width="28.4272727272727" style="52" customWidth="1"/>
    <col min="4" max="4" width="14" style="52" customWidth="1"/>
    <col min="5" max="5" width="10.4272727272727" style="52" customWidth="1"/>
    <col min="6" max="6" width="11.4272727272727" style="52" customWidth="1"/>
    <col min="7" max="9" width="6.57272727272727" style="52" hidden="1" customWidth="1"/>
    <col min="10" max="10" width="6.57272727272727" style="52" customWidth="1"/>
    <col min="11" max="13" width="6.57272727272727" style="52" hidden="1" customWidth="1"/>
    <col min="14" max="14" width="8.70909090909091" style="52" customWidth="1"/>
    <col min="15" max="16" width="6.57272727272727" style="52" hidden="1" customWidth="1"/>
    <col min="17" max="17" width="10" style="52" customWidth="1"/>
    <col min="18" max="18" width="6.57272727272727" style="52" customWidth="1"/>
    <col min="19" max="19" width="7.13636363636364" style="52" hidden="1" customWidth="1"/>
    <col min="20" max="21" width="7.42727272727273" style="52" customWidth="1"/>
    <col min="22" max="22" width="6.42727272727273" style="52" hidden="1" customWidth="1"/>
    <col min="23" max="23" width="7.42727272727273" style="52" hidden="1" customWidth="1"/>
    <col min="24" max="24" width="5" style="52" hidden="1" customWidth="1"/>
    <col min="25" max="25" width="10.4272727272727" style="52" customWidth="1"/>
    <col min="26" max="26" width="7.57272727272727" style="52" customWidth="1"/>
    <col min="27" max="27" width="10" style="52" customWidth="1"/>
    <col min="28" max="28" width="18.8545454545455" style="51" customWidth="1"/>
    <col min="29" max="29" width="15.1363636363636" style="51" customWidth="1"/>
    <col min="30" max="30" width="17" style="52" customWidth="1"/>
    <col min="31" max="31" width="16.1363636363636" style="52" customWidth="1"/>
    <col min="32" max="32" width="16" style="52" customWidth="1"/>
    <col min="33" max="16384" width="14.4272727272727" style="52"/>
  </cols>
  <sheetData>
    <row r="1" ht="14.5" spans="1:29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</row>
    <row r="2" ht="14.5" spans="1:29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8"/>
    </row>
    <row r="3" ht="25.5" customHeight="1" spans="1:29">
      <c r="A3" s="59" t="s">
        <v>2</v>
      </c>
      <c r="B3" s="59" t="s">
        <v>3</v>
      </c>
      <c r="C3" s="60" t="s">
        <v>4</v>
      </c>
      <c r="D3" s="59" t="s">
        <v>5</v>
      </c>
      <c r="E3" s="59" t="s">
        <v>6</v>
      </c>
      <c r="F3" s="59" t="s">
        <v>7</v>
      </c>
      <c r="G3" s="59" t="s">
        <v>8</v>
      </c>
      <c r="H3" s="59" t="s">
        <v>9</v>
      </c>
      <c r="I3" s="59" t="s">
        <v>10</v>
      </c>
      <c r="J3" s="61" t="s">
        <v>11</v>
      </c>
      <c r="K3" s="59" t="s">
        <v>12</v>
      </c>
      <c r="L3" s="59" t="s">
        <v>13</v>
      </c>
      <c r="M3" s="59" t="s">
        <v>14</v>
      </c>
      <c r="N3" s="59" t="s">
        <v>15</v>
      </c>
      <c r="O3" s="59" t="s">
        <v>16</v>
      </c>
      <c r="P3" s="59" t="s">
        <v>17</v>
      </c>
      <c r="Q3" s="59" t="s">
        <v>18</v>
      </c>
      <c r="R3" s="59" t="s">
        <v>19</v>
      </c>
      <c r="S3" s="59" t="s">
        <v>20</v>
      </c>
      <c r="T3" s="59" t="s">
        <v>21</v>
      </c>
      <c r="U3" s="59" t="s">
        <v>22</v>
      </c>
      <c r="V3" s="59" t="s">
        <v>23</v>
      </c>
      <c r="W3" s="59" t="s">
        <v>24</v>
      </c>
      <c r="X3" s="59" t="s">
        <v>25</v>
      </c>
      <c r="Y3" s="59" t="s">
        <v>26</v>
      </c>
      <c r="Z3" s="59" t="s">
        <v>27</v>
      </c>
      <c r="AA3" s="59" t="s">
        <v>28</v>
      </c>
      <c r="AB3" s="61" t="s">
        <v>29</v>
      </c>
      <c r="AC3" s="62" t="s">
        <v>30</v>
      </c>
    </row>
    <row r="4" ht="21.75" customHeight="1" spans="1:29">
      <c r="A4" s="63"/>
      <c r="B4" s="63"/>
      <c r="C4" s="64" t="s">
        <v>31</v>
      </c>
      <c r="D4" s="65"/>
      <c r="E4" s="63"/>
      <c r="F4" s="63"/>
      <c r="G4" s="63"/>
      <c r="H4" s="63"/>
      <c r="I4" s="63"/>
      <c r="J4" s="66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6"/>
      <c r="AC4" s="67"/>
    </row>
    <row r="5" ht="14.5" spans="1:29">
      <c r="A5" s="68"/>
      <c r="B5" s="63"/>
      <c r="C5" s="69" t="s">
        <v>32</v>
      </c>
      <c r="D5" s="65"/>
      <c r="E5" s="63"/>
      <c r="F5" s="63"/>
      <c r="G5" s="63"/>
      <c r="H5" s="63"/>
      <c r="I5" s="63"/>
      <c r="J5" s="61">
        <v>31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6"/>
      <c r="AC5" s="67"/>
    </row>
    <row r="6" ht="30" customHeight="1" spans="1:29">
      <c r="A6" s="63">
        <v>1</v>
      </c>
      <c r="B6" s="63">
        <v>1</v>
      </c>
      <c r="C6" s="70" t="s">
        <v>33</v>
      </c>
      <c r="D6" s="65" t="s">
        <v>34</v>
      </c>
      <c r="E6" s="63">
        <v>55000</v>
      </c>
      <c r="F6" s="63">
        <v>55000</v>
      </c>
      <c r="G6" s="63"/>
      <c r="H6" s="63"/>
      <c r="I6" s="63"/>
      <c r="J6" s="71">
        <v>31</v>
      </c>
      <c r="K6" s="63"/>
      <c r="L6" s="63"/>
      <c r="M6" s="63"/>
      <c r="N6" s="63"/>
      <c r="O6" s="63"/>
      <c r="P6" s="63"/>
      <c r="Q6" s="65">
        <f t="shared" ref="Q6:Q11" si="0">ROUNDUP(F6/J$5*J6+N6,0)</f>
        <v>55000</v>
      </c>
      <c r="R6" s="65"/>
      <c r="S6" s="65"/>
      <c r="T6" s="65">
        <f t="shared" ref="T6:T11" si="1">IF(Q6&gt;20001,200,IF(Q6&gt;15001,150,IF(Q6&lt;15000,0,)))</f>
        <v>200</v>
      </c>
      <c r="U6" s="65">
        <f t="shared" ref="U6:U12" si="2">IF(Q6,IF(1,30),IF(1,0))</f>
        <v>30</v>
      </c>
      <c r="V6" s="65"/>
      <c r="W6" s="65"/>
      <c r="X6" s="65"/>
      <c r="Y6" s="65"/>
      <c r="Z6" s="65">
        <f t="shared" ref="Z6:Z11" si="3">SUM(R6:Y6)</f>
        <v>230</v>
      </c>
      <c r="AA6" s="65">
        <f t="shared" ref="AA6:AA11" si="4">Q6-Z6</f>
        <v>54770</v>
      </c>
      <c r="AB6" s="163" t="s">
        <v>35</v>
      </c>
      <c r="AC6" s="67" t="s">
        <v>36</v>
      </c>
    </row>
    <row r="7" ht="30" customHeight="1" spans="1:29">
      <c r="A7" s="63">
        <v>2</v>
      </c>
      <c r="B7" s="63">
        <v>2</v>
      </c>
      <c r="C7" s="70" t="s">
        <v>37</v>
      </c>
      <c r="D7" s="65" t="s">
        <v>38</v>
      </c>
      <c r="E7" s="63">
        <v>21000</v>
      </c>
      <c r="F7" s="63">
        <v>21000</v>
      </c>
      <c r="G7" s="63"/>
      <c r="H7" s="63"/>
      <c r="I7" s="63"/>
      <c r="J7" s="71">
        <v>31</v>
      </c>
      <c r="K7" s="63"/>
      <c r="L7" s="63"/>
      <c r="M7" s="63"/>
      <c r="N7" s="63"/>
      <c r="O7" s="63"/>
      <c r="P7" s="63"/>
      <c r="Q7" s="65">
        <f t="shared" si="0"/>
        <v>21000</v>
      </c>
      <c r="R7" s="65"/>
      <c r="S7" s="65"/>
      <c r="T7" s="65">
        <f t="shared" si="1"/>
        <v>200</v>
      </c>
      <c r="U7" s="65">
        <f t="shared" si="2"/>
        <v>30</v>
      </c>
      <c r="V7" s="65"/>
      <c r="W7" s="65"/>
      <c r="X7" s="65"/>
      <c r="Y7" s="65"/>
      <c r="Z7" s="65">
        <f t="shared" si="3"/>
        <v>230</v>
      </c>
      <c r="AA7" s="65">
        <f t="shared" si="4"/>
        <v>20770</v>
      </c>
      <c r="AB7" s="163" t="s">
        <v>39</v>
      </c>
      <c r="AC7" s="67" t="s">
        <v>36</v>
      </c>
    </row>
    <row r="8" s="41" customFormat="1" ht="30" customHeight="1" spans="1:29">
      <c r="A8" s="72">
        <v>3</v>
      </c>
      <c r="B8" s="72">
        <v>3</v>
      </c>
      <c r="C8" s="73" t="s">
        <v>40</v>
      </c>
      <c r="D8" s="74" t="s">
        <v>38</v>
      </c>
      <c r="E8" s="72">
        <v>20000</v>
      </c>
      <c r="F8" s="72">
        <v>20000</v>
      </c>
      <c r="G8" s="72"/>
      <c r="H8" s="72"/>
      <c r="I8" s="72"/>
      <c r="J8" s="75">
        <v>31</v>
      </c>
      <c r="K8" s="72"/>
      <c r="L8" s="72"/>
      <c r="M8" s="72"/>
      <c r="N8" s="72"/>
      <c r="O8" s="72"/>
      <c r="P8" s="72"/>
      <c r="Q8" s="74">
        <f t="shared" si="0"/>
        <v>20000</v>
      </c>
      <c r="R8" s="74"/>
      <c r="S8" s="74"/>
      <c r="T8" s="74">
        <f t="shared" si="1"/>
        <v>150</v>
      </c>
      <c r="U8" s="74">
        <f t="shared" si="2"/>
        <v>30</v>
      </c>
      <c r="V8" s="74"/>
      <c r="W8" s="74"/>
      <c r="X8" s="74"/>
      <c r="Y8" s="74"/>
      <c r="Z8" s="74">
        <f t="shared" si="3"/>
        <v>180</v>
      </c>
      <c r="AA8" s="74">
        <f t="shared" si="4"/>
        <v>19820</v>
      </c>
      <c r="AB8" s="164" t="s">
        <v>41</v>
      </c>
      <c r="AC8" s="77" t="s">
        <v>42</v>
      </c>
    </row>
    <row r="9" s="41" customFormat="1" ht="30" customHeight="1" spans="1:29">
      <c r="A9" s="72">
        <v>4</v>
      </c>
      <c r="B9" s="72">
        <v>4</v>
      </c>
      <c r="C9" s="73" t="s">
        <v>43</v>
      </c>
      <c r="D9" s="74" t="s">
        <v>44</v>
      </c>
      <c r="E9" s="72">
        <v>16000</v>
      </c>
      <c r="F9" s="72">
        <v>16000</v>
      </c>
      <c r="G9" s="72"/>
      <c r="H9" s="72"/>
      <c r="I9" s="72"/>
      <c r="J9" s="75">
        <v>31</v>
      </c>
      <c r="K9" s="72"/>
      <c r="L9" s="72"/>
      <c r="M9" s="72"/>
      <c r="N9" s="72"/>
      <c r="O9" s="72"/>
      <c r="P9" s="72"/>
      <c r="Q9" s="74">
        <f t="shared" si="0"/>
        <v>16000</v>
      </c>
      <c r="R9" s="74"/>
      <c r="S9" s="74"/>
      <c r="T9" s="74">
        <f t="shared" si="1"/>
        <v>150</v>
      </c>
      <c r="U9" s="74">
        <f t="shared" si="2"/>
        <v>30</v>
      </c>
      <c r="V9" s="74"/>
      <c r="W9" s="74"/>
      <c r="X9" s="74"/>
      <c r="Y9" s="74"/>
      <c r="Z9" s="74">
        <f t="shared" si="3"/>
        <v>180</v>
      </c>
      <c r="AA9" s="74">
        <f t="shared" si="4"/>
        <v>15820</v>
      </c>
      <c r="AB9" s="164" t="s">
        <v>45</v>
      </c>
      <c r="AC9" s="77" t="s">
        <v>46</v>
      </c>
    </row>
    <row r="10" s="42" customFormat="1" ht="30" customHeight="1" spans="1:29">
      <c r="A10" s="72">
        <v>5</v>
      </c>
      <c r="B10" s="72">
        <v>5</v>
      </c>
      <c r="C10" s="73" t="s">
        <v>47</v>
      </c>
      <c r="D10" s="74" t="s">
        <v>48</v>
      </c>
      <c r="E10" s="72">
        <v>30000</v>
      </c>
      <c r="F10" s="72">
        <v>30000</v>
      </c>
      <c r="G10" s="72"/>
      <c r="H10" s="72"/>
      <c r="I10" s="72"/>
      <c r="J10" s="75">
        <v>30</v>
      </c>
      <c r="K10" s="72"/>
      <c r="L10" s="72"/>
      <c r="M10" s="72"/>
      <c r="N10" s="72"/>
      <c r="O10" s="72"/>
      <c r="P10" s="72"/>
      <c r="Q10" s="74">
        <f t="shared" si="0"/>
        <v>29033</v>
      </c>
      <c r="R10" s="74">
        <v>1800</v>
      </c>
      <c r="S10" s="74"/>
      <c r="T10" s="74">
        <f t="shared" si="1"/>
        <v>200</v>
      </c>
      <c r="U10" s="74">
        <f t="shared" si="2"/>
        <v>30</v>
      </c>
      <c r="V10" s="74"/>
      <c r="W10" s="74"/>
      <c r="X10" s="74"/>
      <c r="Y10" s="74">
        <v>2000</v>
      </c>
      <c r="Z10" s="74">
        <f t="shared" si="3"/>
        <v>4030</v>
      </c>
      <c r="AA10" s="74">
        <f t="shared" si="4"/>
        <v>25003</v>
      </c>
      <c r="AB10" s="164" t="s">
        <v>49</v>
      </c>
      <c r="AC10" s="77" t="s">
        <v>36</v>
      </c>
    </row>
    <row r="11" s="42" customFormat="1" ht="30" customHeight="1" spans="1:29">
      <c r="A11" s="72">
        <v>6</v>
      </c>
      <c r="B11" s="72">
        <v>6</v>
      </c>
      <c r="C11" s="73" t="s">
        <v>50</v>
      </c>
      <c r="D11" s="74" t="s">
        <v>48</v>
      </c>
      <c r="E11" s="72">
        <v>15500</v>
      </c>
      <c r="F11" s="72">
        <v>15500</v>
      </c>
      <c r="G11" s="72"/>
      <c r="H11" s="72"/>
      <c r="I11" s="72"/>
      <c r="J11" s="75">
        <v>31</v>
      </c>
      <c r="K11" s="72"/>
      <c r="L11" s="72"/>
      <c r="M11" s="72"/>
      <c r="N11" s="72"/>
      <c r="O11" s="72"/>
      <c r="P11" s="72"/>
      <c r="Q11" s="74">
        <f t="shared" si="0"/>
        <v>15500</v>
      </c>
      <c r="R11" s="74"/>
      <c r="S11" s="74"/>
      <c r="T11" s="74">
        <f t="shared" si="1"/>
        <v>150</v>
      </c>
      <c r="U11" s="74">
        <f t="shared" si="2"/>
        <v>30</v>
      </c>
      <c r="V11" s="74"/>
      <c r="W11" s="74"/>
      <c r="X11" s="74"/>
      <c r="Y11" s="74"/>
      <c r="Z11" s="74">
        <f t="shared" si="3"/>
        <v>180</v>
      </c>
      <c r="AA11" s="74">
        <f t="shared" si="4"/>
        <v>15320</v>
      </c>
      <c r="AB11" s="164" t="s">
        <v>51</v>
      </c>
      <c r="AC11" s="77" t="s">
        <v>52</v>
      </c>
    </row>
    <row r="12" s="43" customFormat="1" ht="30" customHeight="1" spans="1:29">
      <c r="A12" s="63">
        <v>7</v>
      </c>
      <c r="B12" s="63">
        <v>7</v>
      </c>
      <c r="C12" s="78" t="s">
        <v>53</v>
      </c>
      <c r="D12" s="79" t="s">
        <v>48</v>
      </c>
      <c r="E12" s="80">
        <v>16000</v>
      </c>
      <c r="F12" s="80">
        <v>16000</v>
      </c>
      <c r="G12" s="80"/>
      <c r="H12" s="80"/>
      <c r="I12" s="80"/>
      <c r="J12" s="81">
        <v>31</v>
      </c>
      <c r="K12" s="80"/>
      <c r="L12" s="80"/>
      <c r="M12" s="80"/>
      <c r="N12" s="80"/>
      <c r="O12" s="80"/>
      <c r="P12" s="80"/>
      <c r="Q12" s="79">
        <f t="shared" ref="Q12:Q16" si="5">ROUNDUP(F12/J$5*J12+N12,0)</f>
        <v>16000</v>
      </c>
      <c r="R12" s="79"/>
      <c r="S12" s="79"/>
      <c r="T12" s="79">
        <f t="shared" ref="T12:T16" si="6">IF(Q12&gt;20001,200,IF(Q12&gt;15001,150,IF(Q12&lt;15000,0,)))</f>
        <v>150</v>
      </c>
      <c r="U12" s="79">
        <f t="shared" si="2"/>
        <v>30</v>
      </c>
      <c r="V12" s="79"/>
      <c r="W12" s="79"/>
      <c r="X12" s="79"/>
      <c r="Y12" s="79"/>
      <c r="Z12" s="79">
        <f t="shared" ref="Z12:Z16" si="7">SUM(R12:Y12)</f>
        <v>180</v>
      </c>
      <c r="AA12" s="79">
        <f t="shared" ref="AA12:AA16" si="8">Q12-Z12</f>
        <v>15820</v>
      </c>
      <c r="AB12" s="165" t="s">
        <v>54</v>
      </c>
      <c r="AC12" s="83" t="s">
        <v>55</v>
      </c>
    </row>
    <row r="13" ht="30" customHeight="1" spans="1:29">
      <c r="A13" s="63">
        <v>8</v>
      </c>
      <c r="B13" s="63">
        <v>8</v>
      </c>
      <c r="C13" s="70" t="s">
        <v>56</v>
      </c>
      <c r="D13" s="65" t="s">
        <v>57</v>
      </c>
      <c r="E13" s="63">
        <v>75000</v>
      </c>
      <c r="F13" s="63">
        <v>75000</v>
      </c>
      <c r="G13" s="63"/>
      <c r="H13" s="63"/>
      <c r="I13" s="63"/>
      <c r="J13" s="71">
        <v>31</v>
      </c>
      <c r="K13" s="63"/>
      <c r="L13" s="63"/>
      <c r="M13" s="63"/>
      <c r="N13" s="63"/>
      <c r="O13" s="63"/>
      <c r="P13" s="63"/>
      <c r="Q13" s="65">
        <f t="shared" si="5"/>
        <v>75000</v>
      </c>
      <c r="R13" s="65"/>
      <c r="S13" s="65"/>
      <c r="T13" s="65">
        <f t="shared" si="6"/>
        <v>200</v>
      </c>
      <c r="U13" s="65">
        <f t="shared" ref="U13:U16" si="9">IF(Q13,IF(1,30),IF(1,0))</f>
        <v>30</v>
      </c>
      <c r="V13" s="65"/>
      <c r="W13" s="65"/>
      <c r="X13" s="65"/>
      <c r="Y13" s="65"/>
      <c r="Z13" s="65">
        <f t="shared" si="7"/>
        <v>230</v>
      </c>
      <c r="AA13" s="65">
        <f t="shared" si="8"/>
        <v>74770</v>
      </c>
      <c r="AB13" s="163" t="s">
        <v>58</v>
      </c>
      <c r="AC13" s="67" t="s">
        <v>59</v>
      </c>
    </row>
    <row r="14" ht="30" customHeight="1" spans="1:29">
      <c r="A14" s="63">
        <v>9</v>
      </c>
      <c r="B14" s="63">
        <v>9</v>
      </c>
      <c r="C14" s="70" t="s">
        <v>60</v>
      </c>
      <c r="D14" s="65" t="s">
        <v>61</v>
      </c>
      <c r="E14" s="63">
        <v>12000</v>
      </c>
      <c r="F14" s="63">
        <v>12000</v>
      </c>
      <c r="G14" s="63"/>
      <c r="H14" s="63"/>
      <c r="I14" s="63"/>
      <c r="J14" s="71">
        <v>31</v>
      </c>
      <c r="K14" s="63"/>
      <c r="L14" s="63"/>
      <c r="M14" s="63"/>
      <c r="N14" s="63"/>
      <c r="O14" s="63"/>
      <c r="P14" s="63"/>
      <c r="Q14" s="65">
        <f t="shared" si="5"/>
        <v>12000</v>
      </c>
      <c r="R14" s="65"/>
      <c r="S14" s="65"/>
      <c r="T14" s="65">
        <f t="shared" si="6"/>
        <v>0</v>
      </c>
      <c r="U14" s="65">
        <f t="shared" si="9"/>
        <v>30</v>
      </c>
      <c r="V14" s="65"/>
      <c r="W14" s="65"/>
      <c r="X14" s="65"/>
      <c r="Y14" s="65"/>
      <c r="Z14" s="65">
        <f t="shared" si="7"/>
        <v>30</v>
      </c>
      <c r="AA14" s="65">
        <f t="shared" si="8"/>
        <v>11970</v>
      </c>
      <c r="AB14" s="163" t="s">
        <v>62</v>
      </c>
      <c r="AC14" s="67" t="s">
        <v>63</v>
      </c>
    </row>
    <row r="15" ht="30" customHeight="1" spans="1:29">
      <c r="A15" s="63">
        <v>10</v>
      </c>
      <c r="B15" s="63">
        <v>10</v>
      </c>
      <c r="C15" s="70" t="s">
        <v>64</v>
      </c>
      <c r="D15" s="65" t="s">
        <v>65</v>
      </c>
      <c r="E15" s="63">
        <v>12000</v>
      </c>
      <c r="F15" s="63">
        <v>12000</v>
      </c>
      <c r="G15" s="63"/>
      <c r="H15" s="63"/>
      <c r="I15" s="63"/>
      <c r="J15" s="71">
        <v>31</v>
      </c>
      <c r="K15" s="63"/>
      <c r="L15" s="63"/>
      <c r="M15" s="63"/>
      <c r="N15" s="63"/>
      <c r="O15" s="63"/>
      <c r="P15" s="63"/>
      <c r="Q15" s="65">
        <f t="shared" si="5"/>
        <v>12000</v>
      </c>
      <c r="R15" s="65"/>
      <c r="S15" s="65"/>
      <c r="T15" s="65">
        <f t="shared" si="6"/>
        <v>0</v>
      </c>
      <c r="U15" s="65">
        <f t="shared" si="9"/>
        <v>30</v>
      </c>
      <c r="V15" s="65"/>
      <c r="W15" s="65"/>
      <c r="X15" s="65"/>
      <c r="Y15" s="65"/>
      <c r="Z15" s="65">
        <f t="shared" si="7"/>
        <v>30</v>
      </c>
      <c r="AA15" s="65">
        <f t="shared" si="8"/>
        <v>11970</v>
      </c>
      <c r="AB15" s="163" t="s">
        <v>66</v>
      </c>
      <c r="AC15" s="67" t="s">
        <v>36</v>
      </c>
    </row>
    <row r="16" ht="30" customHeight="1" spans="1:29">
      <c r="A16" s="63">
        <v>11</v>
      </c>
      <c r="B16" s="63">
        <v>11</v>
      </c>
      <c r="C16" s="70" t="s">
        <v>67</v>
      </c>
      <c r="D16" s="65" t="s">
        <v>68</v>
      </c>
      <c r="E16" s="63">
        <v>18000</v>
      </c>
      <c r="F16" s="63">
        <v>18000</v>
      </c>
      <c r="G16" s="63"/>
      <c r="H16" s="63"/>
      <c r="I16" s="63"/>
      <c r="J16" s="71">
        <v>31</v>
      </c>
      <c r="K16" s="63"/>
      <c r="L16" s="63"/>
      <c r="M16" s="63"/>
      <c r="N16" s="63"/>
      <c r="O16" s="63"/>
      <c r="P16" s="63"/>
      <c r="Q16" s="65">
        <f t="shared" si="5"/>
        <v>18000</v>
      </c>
      <c r="R16" s="65"/>
      <c r="S16" s="65"/>
      <c r="T16" s="65">
        <f t="shared" si="6"/>
        <v>150</v>
      </c>
      <c r="U16" s="65">
        <f t="shared" si="9"/>
        <v>30</v>
      </c>
      <c r="V16" s="65"/>
      <c r="W16" s="65"/>
      <c r="X16" s="65"/>
      <c r="Y16" s="65">
        <v>958</v>
      </c>
      <c r="Z16" s="65">
        <f t="shared" si="7"/>
        <v>1138</v>
      </c>
      <c r="AA16" s="65">
        <f t="shared" si="8"/>
        <v>16862</v>
      </c>
      <c r="AB16" s="163" t="s">
        <v>69</v>
      </c>
      <c r="AC16" s="67" t="s">
        <v>70</v>
      </c>
    </row>
    <row r="17" ht="30" customHeight="1" spans="1:30">
      <c r="A17" s="63">
        <v>12</v>
      </c>
      <c r="B17" s="63">
        <v>12</v>
      </c>
      <c r="C17" s="70" t="s">
        <v>71</v>
      </c>
      <c r="D17" s="65" t="s">
        <v>72</v>
      </c>
      <c r="E17" s="63">
        <v>13000</v>
      </c>
      <c r="F17" s="63">
        <v>13000</v>
      </c>
      <c r="G17" s="63"/>
      <c r="H17" s="63"/>
      <c r="I17" s="63"/>
      <c r="J17" s="71">
        <v>30</v>
      </c>
      <c r="K17" s="63"/>
      <c r="L17" s="63"/>
      <c r="M17" s="63"/>
      <c r="N17" s="63"/>
      <c r="O17" s="63"/>
      <c r="P17" s="63"/>
      <c r="Q17" s="65">
        <f t="shared" ref="Q17:Q18" si="10">ROUNDUP(F17/J$5*J17+N17,0)</f>
        <v>12581</v>
      </c>
      <c r="R17" s="65"/>
      <c r="S17" s="65"/>
      <c r="T17" s="65">
        <f t="shared" ref="T17:T18" si="11">IF(Q17&gt;20001,200,IF(Q17&gt;15001,150,IF(Q17&lt;15000,0,)))</f>
        <v>0</v>
      </c>
      <c r="U17" s="65">
        <f t="shared" ref="U17" si="12">IF(Q17,IF(1,30),IF(1,0))</f>
        <v>30</v>
      </c>
      <c r="V17" s="65"/>
      <c r="W17" s="65"/>
      <c r="X17" s="65"/>
      <c r="Y17" s="65"/>
      <c r="Z17" s="65">
        <f t="shared" ref="Z17:Z18" si="13">SUM(R17:Y17)</f>
        <v>30</v>
      </c>
      <c r="AA17" s="65">
        <f t="shared" ref="AA17:AA18" si="14">Q17-Z17</f>
        <v>12551</v>
      </c>
      <c r="AB17" s="163" t="s">
        <v>73</v>
      </c>
      <c r="AC17" s="67" t="s">
        <v>74</v>
      </c>
    </row>
    <row r="18" s="44" customFormat="1" ht="30" customHeight="1" spans="1:30">
      <c r="A18" s="84">
        <v>13</v>
      </c>
      <c r="B18" s="84">
        <v>13</v>
      </c>
      <c r="C18" s="85" t="s">
        <v>75</v>
      </c>
      <c r="D18" s="86" t="s">
        <v>76</v>
      </c>
      <c r="E18" s="87">
        <v>100000</v>
      </c>
      <c r="F18" s="87">
        <v>100000</v>
      </c>
      <c r="G18" s="87"/>
      <c r="H18" s="87"/>
      <c r="I18" s="87"/>
      <c r="J18" s="88"/>
      <c r="K18" s="87"/>
      <c r="L18" s="87"/>
      <c r="M18" s="87"/>
      <c r="N18" s="87"/>
      <c r="O18" s="87"/>
      <c r="P18" s="87"/>
      <c r="Q18" s="87">
        <f t="shared" si="10"/>
        <v>0</v>
      </c>
      <c r="R18" s="87"/>
      <c r="S18" s="87"/>
      <c r="T18" s="87">
        <f t="shared" si="11"/>
        <v>0</v>
      </c>
      <c r="U18" s="87">
        <v>75</v>
      </c>
      <c r="V18" s="87">
        <v>0</v>
      </c>
      <c r="W18" s="87"/>
      <c r="X18" s="87"/>
      <c r="Y18" s="87"/>
      <c r="Z18" s="87">
        <f t="shared" si="13"/>
        <v>75</v>
      </c>
      <c r="AA18" s="87">
        <f t="shared" si="14"/>
        <v>-75</v>
      </c>
      <c r="AB18" s="86" t="s">
        <v>77</v>
      </c>
      <c r="AC18" s="86" t="s">
        <v>78</v>
      </c>
    </row>
    <row r="19" ht="14.5" spans="1:30">
      <c r="A19" s="89"/>
      <c r="B19" s="63"/>
      <c r="C19" s="69" t="s">
        <v>79</v>
      </c>
      <c r="D19" s="65"/>
      <c r="E19" s="63"/>
      <c r="F19" s="63"/>
      <c r="G19" s="63"/>
      <c r="H19" s="63"/>
      <c r="I19" s="63"/>
      <c r="J19" s="66"/>
      <c r="K19" s="63"/>
      <c r="L19" s="63"/>
      <c r="M19" s="63"/>
      <c r="N19" s="63"/>
      <c r="O19" s="63"/>
      <c r="P19" s="63"/>
      <c r="Q19" s="65"/>
      <c r="R19" s="63"/>
      <c r="S19" s="63"/>
      <c r="T19" s="65"/>
      <c r="U19" s="65"/>
      <c r="V19" s="63"/>
      <c r="W19" s="65"/>
      <c r="X19" s="63"/>
      <c r="Y19" s="63"/>
      <c r="Z19" s="65"/>
      <c r="AA19" s="65"/>
      <c r="AB19" s="66"/>
      <c r="AC19" s="67"/>
    </row>
    <row r="20" ht="28.5" customHeight="1" spans="1:30">
      <c r="A20" s="90">
        <v>14</v>
      </c>
      <c r="B20" s="90">
        <v>1</v>
      </c>
      <c r="C20" s="91" t="s">
        <v>80</v>
      </c>
      <c r="D20" s="92" t="s">
        <v>81</v>
      </c>
      <c r="E20" s="90">
        <v>90000</v>
      </c>
      <c r="F20" s="90">
        <v>90000</v>
      </c>
      <c r="G20" s="90"/>
      <c r="H20" s="90"/>
      <c r="I20" s="90"/>
      <c r="J20" s="93">
        <v>28</v>
      </c>
      <c r="K20" s="90"/>
      <c r="L20" s="90"/>
      <c r="M20" s="90"/>
      <c r="N20" s="90">
        <v>24000</v>
      </c>
      <c r="O20" s="90"/>
      <c r="P20" s="90"/>
      <c r="Q20" s="92">
        <f>ROUNDUP(F20/J$5*J20+N20,0)</f>
        <v>105291</v>
      </c>
      <c r="R20" s="92"/>
      <c r="S20" s="92"/>
      <c r="T20" s="92">
        <f>IF(Q20&gt;20001,200,IF(Q20&gt;15001,150,IF(Q20&lt;15000,0,)))</f>
        <v>200</v>
      </c>
      <c r="U20" s="92">
        <f>IF(Q20,IF(1,30),IF(1,0))</f>
        <v>30</v>
      </c>
      <c r="V20" s="92"/>
      <c r="W20" s="92"/>
      <c r="X20" s="92"/>
      <c r="Y20" s="92"/>
      <c r="Z20" s="92">
        <f>SUM(R20:Y20)</f>
        <v>230</v>
      </c>
      <c r="AA20" s="92">
        <f>Q20-Z20</f>
        <v>105061</v>
      </c>
      <c r="AB20" s="166" t="s">
        <v>82</v>
      </c>
      <c r="AC20" s="95" t="s">
        <v>74</v>
      </c>
      <c r="AD20" s="52" t="s">
        <v>83</v>
      </c>
    </row>
    <row r="21" ht="28.5" customHeight="1" spans="1:30">
      <c r="A21" s="63">
        <v>14</v>
      </c>
      <c r="B21" s="63">
        <v>1</v>
      </c>
      <c r="C21" s="70" t="s">
        <v>84</v>
      </c>
      <c r="D21" s="65" t="s">
        <v>85</v>
      </c>
      <c r="E21" s="63">
        <v>26500</v>
      </c>
      <c r="F21" s="63">
        <v>26500</v>
      </c>
      <c r="G21" s="63"/>
      <c r="H21" s="63"/>
      <c r="I21" s="63"/>
      <c r="J21" s="71">
        <v>30</v>
      </c>
      <c r="K21" s="63"/>
      <c r="L21" s="63"/>
      <c r="M21" s="63"/>
      <c r="N21" s="63"/>
      <c r="O21" s="63"/>
      <c r="P21" s="63"/>
      <c r="Q21" s="65">
        <f t="shared" ref="Q21:Q30" si="15">ROUNDUP(F21/J$5*J21+N21,0)</f>
        <v>25646</v>
      </c>
      <c r="R21" s="65"/>
      <c r="S21" s="65"/>
      <c r="T21" s="65">
        <f t="shared" ref="T21:T26" si="16">IF(Q21&gt;20001,200,IF(Q21&gt;15001,150,IF(Q21&lt;15000,0,)))</f>
        <v>200</v>
      </c>
      <c r="U21" s="65">
        <f t="shared" ref="U21:U30" si="17">IF(Q21,IF(1,30),IF(1,0))</f>
        <v>30</v>
      </c>
      <c r="V21" s="65"/>
      <c r="W21" s="65"/>
      <c r="X21" s="65"/>
      <c r="Y21" s="65">
        <v>2625</v>
      </c>
      <c r="Z21" s="65">
        <f t="shared" ref="Z21:Z30" si="18">SUM(R21:Y21)</f>
        <v>2855</v>
      </c>
      <c r="AA21" s="65">
        <f t="shared" ref="AA21:AA30" si="19">Q21-Z21</f>
        <v>22791</v>
      </c>
      <c r="AB21" s="163" t="s">
        <v>86</v>
      </c>
      <c r="AC21" s="67" t="s">
        <v>87</v>
      </c>
    </row>
    <row r="22" ht="28.5" customHeight="1" spans="1:30">
      <c r="A22" s="63">
        <v>15</v>
      </c>
      <c r="B22" s="63">
        <v>2</v>
      </c>
      <c r="C22" s="70" t="s">
        <v>88</v>
      </c>
      <c r="D22" s="65" t="s">
        <v>89</v>
      </c>
      <c r="E22" s="63">
        <v>20000</v>
      </c>
      <c r="F22" s="63">
        <v>20000</v>
      </c>
      <c r="G22" s="63"/>
      <c r="H22" s="63"/>
      <c r="I22" s="63"/>
      <c r="J22" s="71">
        <v>31</v>
      </c>
      <c r="K22" s="63"/>
      <c r="L22" s="63"/>
      <c r="M22" s="63"/>
      <c r="N22" s="63"/>
      <c r="O22" s="63"/>
      <c r="P22" s="63"/>
      <c r="Q22" s="65">
        <f t="shared" si="15"/>
        <v>20000</v>
      </c>
      <c r="R22" s="65"/>
      <c r="S22" s="65"/>
      <c r="T22" s="65">
        <f t="shared" si="16"/>
        <v>150</v>
      </c>
      <c r="U22" s="65">
        <f t="shared" si="17"/>
        <v>30</v>
      </c>
      <c r="V22" s="65"/>
      <c r="W22" s="65"/>
      <c r="X22" s="65"/>
      <c r="Y22" s="65"/>
      <c r="Z22" s="65">
        <f t="shared" si="18"/>
        <v>180</v>
      </c>
      <c r="AA22" s="65">
        <f t="shared" si="19"/>
        <v>19820</v>
      </c>
      <c r="AB22" s="163" t="s">
        <v>90</v>
      </c>
      <c r="AC22" s="67" t="s">
        <v>36</v>
      </c>
    </row>
    <row r="23" s="42" customFormat="1" ht="28.5" customHeight="1" spans="1:30">
      <c r="A23" s="72">
        <v>16</v>
      </c>
      <c r="B23" s="72">
        <v>3</v>
      </c>
      <c r="C23" s="73" t="s">
        <v>91</v>
      </c>
      <c r="D23" s="96" t="s">
        <v>89</v>
      </c>
      <c r="E23" s="72">
        <v>29000</v>
      </c>
      <c r="F23" s="72">
        <v>29000</v>
      </c>
      <c r="G23" s="72"/>
      <c r="H23" s="72"/>
      <c r="I23" s="72"/>
      <c r="J23" s="75">
        <v>30</v>
      </c>
      <c r="K23" s="72"/>
      <c r="L23" s="72"/>
      <c r="M23" s="72"/>
      <c r="N23" s="72"/>
      <c r="O23" s="72"/>
      <c r="P23" s="72"/>
      <c r="Q23" s="74">
        <f t="shared" si="15"/>
        <v>28065</v>
      </c>
      <c r="R23" s="74"/>
      <c r="S23" s="74"/>
      <c r="T23" s="74">
        <f t="shared" si="16"/>
        <v>200</v>
      </c>
      <c r="U23" s="74">
        <f t="shared" si="17"/>
        <v>30</v>
      </c>
      <c r="V23" s="74"/>
      <c r="W23" s="74"/>
      <c r="X23" s="74"/>
      <c r="Y23" s="74"/>
      <c r="Z23" s="74">
        <f t="shared" si="18"/>
        <v>230</v>
      </c>
      <c r="AA23" s="74">
        <f t="shared" si="19"/>
        <v>27835</v>
      </c>
      <c r="AB23" s="164" t="s">
        <v>92</v>
      </c>
      <c r="AC23" s="77" t="s">
        <v>93</v>
      </c>
    </row>
    <row r="24" ht="28.5" customHeight="1" spans="1:30">
      <c r="A24" s="63">
        <v>17</v>
      </c>
      <c r="B24" s="63">
        <v>4</v>
      </c>
      <c r="C24" s="70" t="s">
        <v>94</v>
      </c>
      <c r="D24" s="65" t="s">
        <v>95</v>
      </c>
      <c r="E24" s="63">
        <v>13500</v>
      </c>
      <c r="F24" s="63">
        <v>13500</v>
      </c>
      <c r="G24" s="63"/>
      <c r="H24" s="63"/>
      <c r="I24" s="63"/>
      <c r="J24" s="71">
        <v>28.5</v>
      </c>
      <c r="K24" s="63"/>
      <c r="L24" s="63"/>
      <c r="M24" s="63"/>
      <c r="N24" s="63"/>
      <c r="O24" s="63"/>
      <c r="P24" s="63"/>
      <c r="Q24" s="65">
        <f t="shared" si="15"/>
        <v>12412</v>
      </c>
      <c r="R24" s="65"/>
      <c r="S24" s="65"/>
      <c r="T24" s="65">
        <f t="shared" si="16"/>
        <v>0</v>
      </c>
      <c r="U24" s="65">
        <f t="shared" si="17"/>
        <v>30</v>
      </c>
      <c r="V24" s="65"/>
      <c r="W24" s="65"/>
      <c r="X24" s="65"/>
      <c r="Y24" s="65"/>
      <c r="Z24" s="65">
        <f t="shared" si="18"/>
        <v>30</v>
      </c>
      <c r="AA24" s="65">
        <f t="shared" si="19"/>
        <v>12382</v>
      </c>
      <c r="AB24" s="163" t="s">
        <v>96</v>
      </c>
      <c r="AC24" s="67" t="s">
        <v>97</v>
      </c>
    </row>
    <row r="25" ht="28.5" customHeight="1" spans="1:30">
      <c r="A25" s="63">
        <v>18</v>
      </c>
      <c r="B25" s="63">
        <v>5</v>
      </c>
      <c r="C25" s="70" t="s">
        <v>98</v>
      </c>
      <c r="D25" s="97" t="s">
        <v>89</v>
      </c>
      <c r="E25" s="63">
        <v>19500</v>
      </c>
      <c r="F25" s="63">
        <v>19500</v>
      </c>
      <c r="G25" s="63"/>
      <c r="H25" s="63"/>
      <c r="I25" s="63"/>
      <c r="J25" s="71">
        <v>31</v>
      </c>
      <c r="K25" s="63"/>
      <c r="L25" s="63"/>
      <c r="M25" s="63"/>
      <c r="N25" s="63"/>
      <c r="O25" s="63"/>
      <c r="P25" s="63"/>
      <c r="Q25" s="65">
        <f t="shared" si="15"/>
        <v>19500</v>
      </c>
      <c r="R25" s="65"/>
      <c r="S25" s="65"/>
      <c r="T25" s="65">
        <f t="shared" si="16"/>
        <v>150</v>
      </c>
      <c r="U25" s="65">
        <f t="shared" si="17"/>
        <v>30</v>
      </c>
      <c r="V25" s="65"/>
      <c r="W25" s="65"/>
      <c r="X25" s="65"/>
      <c r="Y25" s="65"/>
      <c r="Z25" s="65">
        <f t="shared" si="18"/>
        <v>180</v>
      </c>
      <c r="AA25" s="65">
        <f t="shared" si="19"/>
        <v>19320</v>
      </c>
      <c r="AB25" s="163" t="s">
        <v>99</v>
      </c>
      <c r="AC25" s="67" t="s">
        <v>74</v>
      </c>
    </row>
    <row r="26" s="45" customFormat="1" ht="28.5" customHeight="1" spans="1:30">
      <c r="A26" s="63">
        <v>19</v>
      </c>
      <c r="B26" s="63">
        <v>6</v>
      </c>
      <c r="C26" s="98" t="s">
        <v>100</v>
      </c>
      <c r="D26" s="99" t="s">
        <v>101</v>
      </c>
      <c r="E26" s="99">
        <v>12000</v>
      </c>
      <c r="F26" s="99">
        <v>12000</v>
      </c>
      <c r="G26" s="99"/>
      <c r="H26" s="99"/>
      <c r="I26" s="99"/>
      <c r="J26" s="100">
        <v>30</v>
      </c>
      <c r="K26" s="99"/>
      <c r="L26" s="99"/>
      <c r="M26" s="99"/>
      <c r="N26" s="99"/>
      <c r="O26" s="99"/>
      <c r="P26" s="99"/>
      <c r="Q26" s="99">
        <f t="shared" si="15"/>
        <v>11613</v>
      </c>
      <c r="R26" s="99"/>
      <c r="S26" s="99"/>
      <c r="T26" s="99">
        <f t="shared" si="16"/>
        <v>0</v>
      </c>
      <c r="U26" s="99">
        <f t="shared" si="17"/>
        <v>30</v>
      </c>
      <c r="V26" s="99"/>
      <c r="W26" s="99"/>
      <c r="X26" s="99"/>
      <c r="Y26" s="99"/>
      <c r="Z26" s="99">
        <f t="shared" si="18"/>
        <v>30</v>
      </c>
      <c r="AA26" s="99">
        <f t="shared" si="19"/>
        <v>11583</v>
      </c>
      <c r="AB26" s="99" t="s">
        <v>102</v>
      </c>
      <c r="AC26" s="99" t="s">
        <v>103</v>
      </c>
    </row>
    <row r="27" s="46" customFormat="1" ht="28.5" customHeight="1" spans="1:30">
      <c r="A27" s="72">
        <v>20</v>
      </c>
      <c r="B27" s="72">
        <v>7</v>
      </c>
      <c r="C27" s="101" t="s">
        <v>104</v>
      </c>
      <c r="D27" s="74" t="s">
        <v>105</v>
      </c>
      <c r="E27" s="72">
        <v>13500</v>
      </c>
      <c r="F27" s="72">
        <v>13500</v>
      </c>
      <c r="G27" s="72"/>
      <c r="H27" s="72"/>
      <c r="I27" s="72"/>
      <c r="J27" s="75">
        <v>31</v>
      </c>
      <c r="K27" s="72"/>
      <c r="L27" s="72"/>
      <c r="M27" s="72"/>
      <c r="N27" s="72"/>
      <c r="O27" s="72"/>
      <c r="P27" s="72"/>
      <c r="Q27" s="74">
        <f t="shared" si="15"/>
        <v>13500</v>
      </c>
      <c r="R27" s="74"/>
      <c r="S27" s="74"/>
      <c r="T27" s="74"/>
      <c r="U27" s="74">
        <f t="shared" si="17"/>
        <v>30</v>
      </c>
      <c r="V27" s="74"/>
      <c r="W27" s="74"/>
      <c r="X27" s="74"/>
      <c r="Y27" s="74"/>
      <c r="Z27" s="74">
        <f t="shared" si="18"/>
        <v>30</v>
      </c>
      <c r="AA27" s="74">
        <f t="shared" si="19"/>
        <v>13470</v>
      </c>
      <c r="AB27" s="102">
        <v>10859751092</v>
      </c>
      <c r="AC27" s="102" t="s">
        <v>106</v>
      </c>
    </row>
    <row r="28" s="41" customFormat="1" ht="28.5" customHeight="1" spans="1:30">
      <c r="A28" s="72">
        <v>21</v>
      </c>
      <c r="B28" s="72">
        <v>8</v>
      </c>
      <c r="C28" s="73" t="s">
        <v>107</v>
      </c>
      <c r="D28" s="74" t="s">
        <v>48</v>
      </c>
      <c r="E28" s="72">
        <v>13500</v>
      </c>
      <c r="F28" s="72">
        <v>13500</v>
      </c>
      <c r="G28" s="72"/>
      <c r="H28" s="72"/>
      <c r="I28" s="72"/>
      <c r="J28" s="75">
        <v>27.5</v>
      </c>
      <c r="K28" s="72"/>
      <c r="L28" s="72"/>
      <c r="M28" s="72"/>
      <c r="N28" s="72"/>
      <c r="O28" s="72"/>
      <c r="P28" s="72"/>
      <c r="Q28" s="74">
        <f t="shared" si="15"/>
        <v>11976</v>
      </c>
      <c r="R28" s="74"/>
      <c r="S28" s="74"/>
      <c r="T28" s="74">
        <f>IF(Q28&gt;20001,200,IF(Q28&gt;15001,150,IF(Q28&lt;15000,0,)))</f>
        <v>0</v>
      </c>
      <c r="U28" s="74">
        <f t="shared" si="17"/>
        <v>30</v>
      </c>
      <c r="V28" s="74"/>
      <c r="W28" s="74"/>
      <c r="X28" s="74"/>
      <c r="Y28" s="74"/>
      <c r="Z28" s="74">
        <f t="shared" si="18"/>
        <v>30</v>
      </c>
      <c r="AA28" s="74">
        <f t="shared" si="19"/>
        <v>11946</v>
      </c>
      <c r="AB28" s="164" t="s">
        <v>108</v>
      </c>
      <c r="AC28" s="77" t="s">
        <v>109</v>
      </c>
    </row>
    <row r="29" s="47" customFormat="1" ht="28.5" customHeight="1" spans="1:30">
      <c r="A29" s="72">
        <v>22</v>
      </c>
      <c r="B29" s="72">
        <v>9</v>
      </c>
      <c r="C29" s="103" t="s">
        <v>110</v>
      </c>
      <c r="D29" s="104" t="s">
        <v>111</v>
      </c>
      <c r="E29" s="105">
        <v>16000</v>
      </c>
      <c r="F29" s="105">
        <v>16000</v>
      </c>
      <c r="G29" s="105"/>
      <c r="H29" s="105"/>
      <c r="I29" s="105"/>
      <c r="J29" s="106">
        <v>31</v>
      </c>
      <c r="K29" s="105"/>
      <c r="L29" s="105"/>
      <c r="M29" s="105"/>
      <c r="N29" s="105"/>
      <c r="O29" s="105"/>
      <c r="P29" s="105"/>
      <c r="Q29" s="104">
        <f t="shared" si="15"/>
        <v>16000</v>
      </c>
      <c r="R29" s="104"/>
      <c r="S29" s="104"/>
      <c r="T29" s="104">
        <f>IF(Q29&gt;20001,200,IF(Q29&gt;15001,150,IF(Q29&lt;15000,0,)))</f>
        <v>150</v>
      </c>
      <c r="U29" s="104">
        <f t="shared" si="17"/>
        <v>30</v>
      </c>
      <c r="V29" s="104"/>
      <c r="W29" s="104"/>
      <c r="X29" s="104"/>
      <c r="Y29" s="104"/>
      <c r="Z29" s="104">
        <f t="shared" si="18"/>
        <v>180</v>
      </c>
      <c r="AA29" s="104">
        <f t="shared" si="19"/>
        <v>15820</v>
      </c>
      <c r="AB29" s="107">
        <v>34059392510</v>
      </c>
      <c r="AC29" s="107" t="s">
        <v>106</v>
      </c>
    </row>
    <row r="30" s="48" customFormat="1" ht="28.5" customHeight="1" spans="1:30">
      <c r="A30" s="63">
        <v>23</v>
      </c>
      <c r="B30" s="63">
        <v>10</v>
      </c>
      <c r="C30" s="70" t="s">
        <v>112</v>
      </c>
      <c r="D30" s="65" t="s">
        <v>113</v>
      </c>
      <c r="E30" s="63">
        <v>19000</v>
      </c>
      <c r="F30" s="63">
        <v>19000</v>
      </c>
      <c r="G30" s="63"/>
      <c r="H30" s="63"/>
      <c r="I30" s="63"/>
      <c r="J30" s="71">
        <v>29.5</v>
      </c>
      <c r="K30" s="63"/>
      <c r="L30" s="63"/>
      <c r="M30" s="63"/>
      <c r="N30" s="63"/>
      <c r="O30" s="63"/>
      <c r="P30" s="63"/>
      <c r="Q30" s="65">
        <f t="shared" si="15"/>
        <v>18081</v>
      </c>
      <c r="R30" s="65"/>
      <c r="S30" s="65"/>
      <c r="T30" s="65">
        <f>IF(Q30&gt;20001,200,IF(Q30&gt;15001,150,IF(Q30&lt;15000,0,)))</f>
        <v>150</v>
      </c>
      <c r="U30" s="65">
        <f t="shared" si="17"/>
        <v>30</v>
      </c>
      <c r="V30" s="65"/>
      <c r="W30" s="65"/>
      <c r="X30" s="65"/>
      <c r="Y30" s="65"/>
      <c r="Z30" s="65">
        <f t="shared" si="18"/>
        <v>180</v>
      </c>
      <c r="AA30" s="65">
        <f t="shared" si="19"/>
        <v>17901</v>
      </c>
      <c r="AB30" s="167" t="s">
        <v>114</v>
      </c>
      <c r="AC30" s="108" t="s">
        <v>115</v>
      </c>
    </row>
    <row r="31" ht="14.5" spans="1:30">
      <c r="A31" s="109"/>
      <c r="B31" s="110"/>
      <c r="C31" s="111" t="s">
        <v>116</v>
      </c>
      <c r="D31" s="112"/>
      <c r="E31" s="110"/>
      <c r="F31" s="110"/>
      <c r="G31" s="110"/>
      <c r="H31" s="110"/>
      <c r="I31" s="110"/>
      <c r="J31" s="113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4"/>
      <c r="AC31" s="115"/>
    </row>
    <row r="32" ht="28.5" customHeight="1" spans="1:30">
      <c r="A32" s="116">
        <v>24</v>
      </c>
      <c r="B32" s="90">
        <v>1</v>
      </c>
      <c r="C32" s="91" t="s">
        <v>117</v>
      </c>
      <c r="D32" s="92" t="s">
        <v>118</v>
      </c>
      <c r="E32" s="90">
        <v>100000</v>
      </c>
      <c r="F32" s="90">
        <v>100000</v>
      </c>
      <c r="G32" s="90"/>
      <c r="H32" s="90"/>
      <c r="I32" s="90"/>
      <c r="J32" s="93">
        <v>30.5</v>
      </c>
      <c r="K32" s="90"/>
      <c r="L32" s="90"/>
      <c r="M32" s="90"/>
      <c r="N32" s="90">
        <v>-16666</v>
      </c>
      <c r="O32" s="90"/>
      <c r="P32" s="90"/>
      <c r="Q32" s="92">
        <f t="shared" ref="Q32:Q36" si="20">ROUNDUP(F32/J$5*J32+N32,0)</f>
        <v>81722</v>
      </c>
      <c r="R32" s="92"/>
      <c r="S32" s="92"/>
      <c r="T32" s="92">
        <f>IF(Q32&gt;20001,200,IF(Q32&gt;15001,150,IF(Q32&lt;15000,0,)))</f>
        <v>200</v>
      </c>
      <c r="U32" s="92">
        <f>IF(Q32,IF(1,30),IF(1,0))</f>
        <v>30</v>
      </c>
      <c r="V32" s="92"/>
      <c r="W32" s="92"/>
      <c r="X32" s="92"/>
      <c r="Y32" s="92"/>
      <c r="Z32" s="92">
        <f t="shared" ref="Z32:Z38" si="21">SUM(R32:Y32)</f>
        <v>230</v>
      </c>
      <c r="AA32" s="92">
        <f t="shared" ref="AA32:AA38" si="22">Q32-Z32</f>
        <v>81492</v>
      </c>
      <c r="AB32" s="168" t="s">
        <v>119</v>
      </c>
      <c r="AC32" s="117" t="s">
        <v>120</v>
      </c>
      <c r="AD32" s="52" t="s">
        <v>121</v>
      </c>
    </row>
    <row r="33" ht="30" customHeight="1" spans="1:29">
      <c r="A33" s="63">
        <v>25</v>
      </c>
      <c r="B33" s="63">
        <v>2</v>
      </c>
      <c r="C33" s="70" t="s">
        <v>122</v>
      </c>
      <c r="D33" s="65" t="s">
        <v>123</v>
      </c>
      <c r="E33" s="63">
        <v>37000</v>
      </c>
      <c r="F33" s="63">
        <v>37000</v>
      </c>
      <c r="G33" s="63"/>
      <c r="H33" s="63"/>
      <c r="I33" s="63"/>
      <c r="J33" s="71">
        <v>31</v>
      </c>
      <c r="K33" s="63"/>
      <c r="L33" s="63"/>
      <c r="M33" s="63"/>
      <c r="N33" s="63"/>
      <c r="O33" s="63"/>
      <c r="P33" s="63"/>
      <c r="Q33" s="65">
        <f t="shared" si="20"/>
        <v>37000</v>
      </c>
      <c r="R33" s="65"/>
      <c r="S33" s="65"/>
      <c r="T33" s="65">
        <f>IF(Q33&gt;20001,200,IF(Q33&gt;15001,150,IF(Q33&lt;15000,0,)))</f>
        <v>200</v>
      </c>
      <c r="U33" s="65">
        <f>IF(Q33,IF(1,30),IF(1,0))</f>
        <v>30</v>
      </c>
      <c r="V33" s="65"/>
      <c r="W33" s="65"/>
      <c r="X33" s="65"/>
      <c r="Y33" s="65"/>
      <c r="Z33" s="65">
        <f t="shared" si="21"/>
        <v>230</v>
      </c>
      <c r="AA33" s="65">
        <f t="shared" si="22"/>
        <v>36770</v>
      </c>
      <c r="AB33" s="163" t="s">
        <v>124</v>
      </c>
      <c r="AC33" s="67" t="s">
        <v>125</v>
      </c>
    </row>
    <row r="34" s="45" customFormat="1" ht="28.5" customHeight="1" spans="1:29">
      <c r="A34" s="118">
        <v>26</v>
      </c>
      <c r="B34" s="119">
        <v>3</v>
      </c>
      <c r="C34" s="120" t="s">
        <v>126</v>
      </c>
      <c r="D34" s="121" t="s">
        <v>123</v>
      </c>
      <c r="E34" s="122">
        <v>22000</v>
      </c>
      <c r="F34" s="122">
        <v>22000</v>
      </c>
      <c r="G34" s="122"/>
      <c r="H34" s="122"/>
      <c r="I34" s="122"/>
      <c r="J34" s="100">
        <v>30.5</v>
      </c>
      <c r="K34" s="122"/>
      <c r="L34" s="122"/>
      <c r="M34" s="122"/>
      <c r="N34" s="122"/>
      <c r="O34" s="122"/>
      <c r="P34" s="122"/>
      <c r="Q34" s="121">
        <f t="shared" si="20"/>
        <v>21646</v>
      </c>
      <c r="R34" s="121"/>
      <c r="S34" s="121"/>
      <c r="T34" s="123">
        <f>IF(Q34&gt;20001,200,IF(Q34&gt;15001,150,IF(Q34&lt;15000,0,)))</f>
        <v>200</v>
      </c>
      <c r="U34" s="124">
        <f>IF(Q34,IF(1,30),IF(1,0))</f>
        <v>30</v>
      </c>
      <c r="V34" s="121"/>
      <c r="W34" s="121"/>
      <c r="X34" s="121"/>
      <c r="Y34" s="121">
        <v>2100</v>
      </c>
      <c r="Z34" s="65">
        <f t="shared" si="21"/>
        <v>2330</v>
      </c>
      <c r="AA34" s="65">
        <f t="shared" si="22"/>
        <v>19316</v>
      </c>
      <c r="AB34" s="169" t="s">
        <v>127</v>
      </c>
      <c r="AC34" s="125" t="s">
        <v>128</v>
      </c>
    </row>
    <row r="35" s="45" customFormat="1" ht="28.5" customHeight="1" spans="1:29">
      <c r="A35" s="63">
        <v>27</v>
      </c>
      <c r="B35" s="63">
        <v>4</v>
      </c>
      <c r="C35" s="120" t="s">
        <v>129</v>
      </c>
      <c r="D35" s="121" t="s">
        <v>130</v>
      </c>
      <c r="E35" s="122">
        <v>60000</v>
      </c>
      <c r="F35" s="122">
        <v>60000</v>
      </c>
      <c r="G35" s="122"/>
      <c r="H35" s="122"/>
      <c r="I35" s="122"/>
      <c r="J35" s="100">
        <v>28.5</v>
      </c>
      <c r="K35" s="122"/>
      <c r="L35" s="122"/>
      <c r="M35" s="122"/>
      <c r="N35" s="122"/>
      <c r="O35" s="122"/>
      <c r="P35" s="122"/>
      <c r="Q35" s="121">
        <f t="shared" si="20"/>
        <v>55162</v>
      </c>
      <c r="R35" s="121"/>
      <c r="S35" s="121"/>
      <c r="T35" s="123">
        <f>IF(Q35&gt;20001,200,IF(Q35&gt;15001,150,IF(Q35&lt;15000,0,)))</f>
        <v>200</v>
      </c>
      <c r="U35" s="124">
        <f>IF(Q35,IF(1,30),IF(1,0))</f>
        <v>30</v>
      </c>
      <c r="V35" s="121"/>
      <c r="W35" s="121"/>
      <c r="X35" s="121"/>
      <c r="Y35" s="121"/>
      <c r="Z35" s="65">
        <f t="shared" si="21"/>
        <v>230</v>
      </c>
      <c r="AA35" s="65">
        <f t="shared" si="22"/>
        <v>54932</v>
      </c>
      <c r="AB35" s="169" t="s">
        <v>131</v>
      </c>
      <c r="AC35" s="125" t="s">
        <v>42</v>
      </c>
    </row>
    <row r="36" s="45" customFormat="1" ht="28.5" customHeight="1" spans="1:29">
      <c r="A36" s="118">
        <v>28</v>
      </c>
      <c r="B36" s="119">
        <v>5</v>
      </c>
      <c r="C36" s="120" t="s">
        <v>132</v>
      </c>
      <c r="D36" s="121" t="s">
        <v>72</v>
      </c>
      <c r="E36" s="122">
        <v>100000</v>
      </c>
      <c r="F36" s="122">
        <v>100000</v>
      </c>
      <c r="G36" s="122"/>
      <c r="H36" s="122"/>
      <c r="I36" s="122"/>
      <c r="J36" s="100">
        <v>31</v>
      </c>
      <c r="K36" s="122"/>
      <c r="L36" s="122"/>
      <c r="M36" s="122"/>
      <c r="N36" s="122"/>
      <c r="O36" s="122"/>
      <c r="P36" s="122"/>
      <c r="Q36" s="121">
        <f t="shared" si="20"/>
        <v>100000</v>
      </c>
      <c r="R36" s="121"/>
      <c r="S36" s="121"/>
      <c r="T36" s="120">
        <v>0</v>
      </c>
      <c r="U36" s="120">
        <v>0</v>
      </c>
      <c r="V36" s="120"/>
      <c r="W36" s="120"/>
      <c r="X36" s="120"/>
      <c r="Y36" s="120"/>
      <c r="Z36" s="65">
        <f t="shared" si="21"/>
        <v>0</v>
      </c>
      <c r="AA36" s="121">
        <f t="shared" si="22"/>
        <v>100000</v>
      </c>
      <c r="AB36" s="169" t="s">
        <v>133</v>
      </c>
      <c r="AC36" s="125" t="s">
        <v>134</v>
      </c>
    </row>
    <row r="37" ht="25.5" customHeight="1" spans="1:29">
      <c r="A37" s="118">
        <v>30</v>
      </c>
      <c r="B37" s="119">
        <v>7</v>
      </c>
      <c r="C37" s="170" t="s">
        <v>135</v>
      </c>
      <c r="D37" s="66" t="s">
        <v>136</v>
      </c>
      <c r="E37" s="63">
        <v>10000</v>
      </c>
      <c r="F37" s="63">
        <v>10000</v>
      </c>
      <c r="G37" s="66"/>
      <c r="H37" s="66"/>
      <c r="I37" s="66"/>
      <c r="J37" s="71">
        <v>31</v>
      </c>
      <c r="K37" s="66"/>
      <c r="L37" s="66"/>
      <c r="M37" s="66"/>
      <c r="N37" s="66"/>
      <c r="O37" s="66"/>
      <c r="P37" s="63">
        <f>SUM(P52:P106)</f>
        <v>0</v>
      </c>
      <c r="Q37" s="63">
        <v>10000</v>
      </c>
      <c r="R37" s="63"/>
      <c r="S37" s="66"/>
      <c r="T37" s="123">
        <f>IF(Q37&gt;20001,200,IF(Q37&gt;15001,150,IF(Q37&lt;15000,0,)))</f>
        <v>0</v>
      </c>
      <c r="U37" s="121">
        <v>0</v>
      </c>
      <c r="V37" s="66"/>
      <c r="W37" s="66"/>
      <c r="X37" s="66"/>
      <c r="Y37" s="66"/>
      <c r="Z37" s="65">
        <f t="shared" si="21"/>
        <v>0</v>
      </c>
      <c r="AA37" s="65">
        <f t="shared" si="22"/>
        <v>10000</v>
      </c>
      <c r="AB37" s="127">
        <v>42306260552</v>
      </c>
      <c r="AC37" s="115" t="s">
        <v>137</v>
      </c>
    </row>
    <row r="38" s="42" customFormat="1" ht="25.5" customHeight="1" spans="1:29">
      <c r="A38" s="105">
        <v>29</v>
      </c>
      <c r="B38" s="72">
        <v>6</v>
      </c>
      <c r="C38" s="128" t="s">
        <v>138</v>
      </c>
      <c r="D38" s="76" t="s">
        <v>136</v>
      </c>
      <c r="E38" s="72">
        <v>10000</v>
      </c>
      <c r="F38" s="72">
        <v>10000</v>
      </c>
      <c r="G38" s="76"/>
      <c r="H38" s="76"/>
      <c r="I38" s="76"/>
      <c r="J38" s="75">
        <v>31</v>
      </c>
      <c r="K38" s="76"/>
      <c r="L38" s="76"/>
      <c r="M38" s="76"/>
      <c r="N38" s="76"/>
      <c r="O38" s="76"/>
      <c r="P38" s="72">
        <f>SUM(P51:P105)</f>
        <v>0</v>
      </c>
      <c r="Q38" s="72">
        <v>10000</v>
      </c>
      <c r="R38" s="72"/>
      <c r="S38" s="76"/>
      <c r="T38" s="129">
        <f>IF(Q38&gt;20001,200,IF(Q38&gt;15001,150,IF(Q38&lt;15000,0,)))</f>
        <v>0</v>
      </c>
      <c r="U38" s="104">
        <v>0</v>
      </c>
      <c r="V38" s="76"/>
      <c r="W38" s="76"/>
      <c r="X38" s="76"/>
      <c r="Y38" s="76"/>
      <c r="Z38" s="74">
        <f t="shared" si="21"/>
        <v>0</v>
      </c>
      <c r="AA38" s="74">
        <f t="shared" si="22"/>
        <v>10000</v>
      </c>
      <c r="AB38" s="171" t="s">
        <v>139</v>
      </c>
      <c r="AC38" s="115" t="s">
        <v>140</v>
      </c>
    </row>
    <row r="39" ht="14.5" spans="1:29">
      <c r="A39" s="63"/>
      <c r="B39" s="63"/>
      <c r="C39" s="69" t="s">
        <v>141</v>
      </c>
      <c r="D39" s="65"/>
      <c r="E39" s="63"/>
      <c r="F39" s="63"/>
      <c r="G39" s="63"/>
      <c r="H39" s="63"/>
      <c r="I39" s="63"/>
      <c r="J39" s="66"/>
      <c r="K39" s="63"/>
      <c r="L39" s="63"/>
      <c r="M39" s="63"/>
      <c r="N39" s="63"/>
      <c r="O39" s="63"/>
      <c r="P39" s="63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6"/>
      <c r="AC39" s="67"/>
    </row>
    <row r="40" ht="23.25" customHeight="1" spans="1:29">
      <c r="A40" s="122">
        <v>32</v>
      </c>
      <c r="B40" s="63">
        <v>1</v>
      </c>
      <c r="C40" s="70" t="s">
        <v>142</v>
      </c>
      <c r="D40" s="65" t="s">
        <v>48</v>
      </c>
      <c r="E40" s="63">
        <v>16500</v>
      </c>
      <c r="F40" s="63">
        <v>16500</v>
      </c>
      <c r="G40" s="63"/>
      <c r="H40" s="63"/>
      <c r="I40" s="63"/>
      <c r="J40" s="71">
        <v>31</v>
      </c>
      <c r="K40" s="63"/>
      <c r="L40" s="63"/>
      <c r="M40" s="63"/>
      <c r="N40" s="63"/>
      <c r="O40" s="63"/>
      <c r="P40" s="63"/>
      <c r="Q40" s="65">
        <f>ROUNDUP(F40/J$5*J40+N40,0)</f>
        <v>16500</v>
      </c>
      <c r="R40" s="65"/>
      <c r="S40" s="65"/>
      <c r="T40" s="65">
        <f>IF(Q40&gt;20001,200,IF(Q40&gt;15001,150,IF(Q40&lt;15000,0,)))</f>
        <v>150</v>
      </c>
      <c r="U40" s="65">
        <f>IF(Q40,IF(1,30),IF(1,0))</f>
        <v>30</v>
      </c>
      <c r="V40" s="65"/>
      <c r="W40" s="65"/>
      <c r="X40" s="65"/>
      <c r="Y40" s="65"/>
      <c r="Z40" s="65">
        <f>SUM(R40:Y40)</f>
        <v>180</v>
      </c>
      <c r="AA40" s="65">
        <f>Q40-Z40</f>
        <v>16320</v>
      </c>
      <c r="AB40" s="163" t="s">
        <v>143</v>
      </c>
      <c r="AC40" s="67" t="s">
        <v>144</v>
      </c>
    </row>
    <row r="41" s="45" customFormat="1" ht="23.25" customHeight="1" spans="1:29">
      <c r="A41" s="63">
        <v>33</v>
      </c>
      <c r="B41" s="122">
        <v>2</v>
      </c>
      <c r="C41" s="120" t="s">
        <v>145</v>
      </c>
      <c r="D41" s="121" t="s">
        <v>146</v>
      </c>
      <c r="E41" s="122">
        <v>16500</v>
      </c>
      <c r="F41" s="122">
        <v>16500</v>
      </c>
      <c r="G41" s="122"/>
      <c r="H41" s="122"/>
      <c r="I41" s="122"/>
      <c r="J41" s="100">
        <v>31</v>
      </c>
      <c r="K41" s="122"/>
      <c r="L41" s="122"/>
      <c r="M41" s="122"/>
      <c r="N41" s="122"/>
      <c r="O41" s="122"/>
      <c r="P41" s="122"/>
      <c r="Q41" s="121">
        <f>ROUNDUP(F41/J$5*J41+N41,0)</f>
        <v>16500</v>
      </c>
      <c r="R41" s="121"/>
      <c r="S41" s="121"/>
      <c r="T41" s="121">
        <f>IF(Q41&gt;20001,200,IF(Q41&gt;15001,150,IF(Q41&lt;15000,0,)))</f>
        <v>150</v>
      </c>
      <c r="U41" s="121">
        <f>IF(Q41,IF(1,30),IF(1,0))</f>
        <v>30</v>
      </c>
      <c r="V41" s="121"/>
      <c r="W41" s="121"/>
      <c r="X41" s="121"/>
      <c r="Y41" s="121"/>
      <c r="Z41" s="121">
        <f>SUM(R41:Y41)</f>
        <v>180</v>
      </c>
      <c r="AA41" s="121">
        <f>Q41-Z41</f>
        <v>16320</v>
      </c>
      <c r="AB41" s="172" t="s">
        <v>147</v>
      </c>
      <c r="AC41" s="125" t="s">
        <v>36</v>
      </c>
    </row>
    <row r="42" ht="23.25" customHeight="1" spans="1:29">
      <c r="A42" s="122">
        <v>34</v>
      </c>
      <c r="B42" s="63">
        <v>3</v>
      </c>
      <c r="C42" s="131" t="s">
        <v>148</v>
      </c>
      <c r="D42" s="65" t="s">
        <v>146</v>
      </c>
      <c r="E42" s="63">
        <v>11500</v>
      </c>
      <c r="F42" s="63">
        <v>11500</v>
      </c>
      <c r="G42" s="63"/>
      <c r="H42" s="63"/>
      <c r="I42" s="63"/>
      <c r="J42" s="71">
        <v>30</v>
      </c>
      <c r="K42" s="63"/>
      <c r="L42" s="63"/>
      <c r="M42" s="63"/>
      <c r="N42" s="63"/>
      <c r="O42" s="63"/>
      <c r="P42" s="63"/>
      <c r="Q42" s="65">
        <f>ROUNDUP(F42/J$5*J42+N42,0)</f>
        <v>11130</v>
      </c>
      <c r="R42" s="65"/>
      <c r="S42" s="65"/>
      <c r="T42" s="65">
        <f>IF(Q42&gt;20001,200,IF(Q42&gt;15001,150,IF(Q42&lt;15000,0,)))</f>
        <v>0</v>
      </c>
      <c r="U42" s="65">
        <f>IF(Q42,IF(1,30),IF(1,0))</f>
        <v>30</v>
      </c>
      <c r="V42" s="65"/>
      <c r="W42" s="65"/>
      <c r="X42" s="65"/>
      <c r="Y42" s="65"/>
      <c r="Z42" s="65">
        <f>SUM(R42:Y42)</f>
        <v>30</v>
      </c>
      <c r="AA42" s="65">
        <f>Q42-Z42</f>
        <v>11100</v>
      </c>
      <c r="AB42" s="163" t="s">
        <v>149</v>
      </c>
      <c r="AC42" s="67" t="s">
        <v>150</v>
      </c>
    </row>
    <row r="43" ht="14.5" spans="1:29">
      <c r="A43" s="63"/>
      <c r="B43" s="63"/>
      <c r="C43" s="69" t="s">
        <v>151</v>
      </c>
      <c r="D43" s="65"/>
      <c r="E43" s="63"/>
      <c r="F43" s="63"/>
      <c r="G43" s="63"/>
      <c r="H43" s="63"/>
      <c r="I43" s="63"/>
      <c r="J43" s="132"/>
      <c r="K43" s="63"/>
      <c r="L43" s="63"/>
      <c r="M43" s="63"/>
      <c r="N43" s="63"/>
      <c r="O43" s="63"/>
      <c r="P43" s="63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6"/>
      <c r="AC43" s="67"/>
    </row>
    <row r="44" ht="22.5" customHeight="1" spans="1:29">
      <c r="A44" s="63">
        <v>35</v>
      </c>
      <c r="B44" s="63">
        <v>1</v>
      </c>
      <c r="C44" s="70" t="s">
        <v>152</v>
      </c>
      <c r="D44" s="65" t="s">
        <v>153</v>
      </c>
      <c r="E44" s="63">
        <v>24000</v>
      </c>
      <c r="F44" s="63">
        <v>24000</v>
      </c>
      <c r="G44" s="63"/>
      <c r="H44" s="63"/>
      <c r="I44" s="63"/>
      <c r="J44" s="71">
        <v>30</v>
      </c>
      <c r="K44" s="63"/>
      <c r="L44" s="63"/>
      <c r="M44" s="63"/>
      <c r="N44" s="63"/>
      <c r="O44" s="63"/>
      <c r="P44" s="63"/>
      <c r="Q44" s="65">
        <f>ROUNDUP(F44/J$5*J44+N44,0)</f>
        <v>23226</v>
      </c>
      <c r="R44" s="65"/>
      <c r="S44" s="65"/>
      <c r="T44" s="65">
        <f>IF(Q44&gt;20001,200,IF(Q44&gt;15001,150,IF(Q44&lt;15000,0,)))</f>
        <v>200</v>
      </c>
      <c r="U44" s="65">
        <f>IF(Q44,IF(1,30),IF(1,0))</f>
        <v>30</v>
      </c>
      <c r="V44" s="65"/>
      <c r="W44" s="65"/>
      <c r="X44" s="65"/>
      <c r="Y44" s="65"/>
      <c r="Z44" s="65">
        <f>SUM(R44:Y44)</f>
        <v>230</v>
      </c>
      <c r="AA44" s="65">
        <f>Q44-Z44</f>
        <v>22996</v>
      </c>
      <c r="AB44" s="163" t="s">
        <v>154</v>
      </c>
      <c r="AC44" s="67" t="s">
        <v>155</v>
      </c>
    </row>
    <row r="45" ht="22.5" customHeight="1" spans="1:29">
      <c r="A45" s="63">
        <v>36</v>
      </c>
      <c r="B45" s="63">
        <v>2</v>
      </c>
      <c r="C45" s="70" t="s">
        <v>156</v>
      </c>
      <c r="D45" s="65" t="s">
        <v>153</v>
      </c>
      <c r="E45" s="65">
        <v>20000</v>
      </c>
      <c r="F45" s="65">
        <v>20000</v>
      </c>
      <c r="G45" s="63"/>
      <c r="H45" s="65"/>
      <c r="I45" s="65"/>
      <c r="J45" s="71">
        <v>31</v>
      </c>
      <c r="K45" s="63"/>
      <c r="L45" s="63"/>
      <c r="M45" s="63"/>
      <c r="N45" s="63"/>
      <c r="O45" s="63"/>
      <c r="P45" s="63"/>
      <c r="Q45" s="65">
        <f>ROUNDUP(F45/J$5*J45+N45,0)</f>
        <v>20000</v>
      </c>
      <c r="R45" s="65"/>
      <c r="S45" s="65"/>
      <c r="T45" s="65">
        <f>IF(Q45&gt;20001,200,IF(Q45&gt;15001,150,IF(Q45&lt;15000,0,)))</f>
        <v>150</v>
      </c>
      <c r="U45" s="65">
        <f>IF(Q45,IF(1,30),IF(1,0))</f>
        <v>30</v>
      </c>
      <c r="V45" s="65">
        <v>0</v>
      </c>
      <c r="W45" s="65"/>
      <c r="X45" s="65"/>
      <c r="Y45" s="65">
        <v>1583</v>
      </c>
      <c r="Z45" s="65">
        <f>SUM(R45:Y45)</f>
        <v>1763</v>
      </c>
      <c r="AA45" s="65">
        <f>Q45-Z45</f>
        <v>18237</v>
      </c>
      <c r="AB45" s="163" t="s">
        <v>157</v>
      </c>
      <c r="AC45" s="67" t="s">
        <v>128</v>
      </c>
    </row>
    <row r="46" ht="22.5" customHeight="1" spans="1:29">
      <c r="A46" s="63">
        <v>37</v>
      </c>
      <c r="B46" s="63">
        <v>3</v>
      </c>
      <c r="C46" s="70" t="s">
        <v>158</v>
      </c>
      <c r="D46" s="65" t="s">
        <v>159</v>
      </c>
      <c r="E46" s="63">
        <v>14500</v>
      </c>
      <c r="F46" s="63">
        <v>14500</v>
      </c>
      <c r="G46" s="63"/>
      <c r="H46" s="63"/>
      <c r="I46" s="63"/>
      <c r="J46" s="71">
        <v>29.5</v>
      </c>
      <c r="K46" s="63"/>
      <c r="L46" s="63"/>
      <c r="M46" s="63"/>
      <c r="N46" s="63"/>
      <c r="O46" s="63"/>
      <c r="P46" s="63"/>
      <c r="Q46" s="65">
        <f>ROUNDUP(F46/J$5*J46+N46,0)</f>
        <v>13799</v>
      </c>
      <c r="R46" s="65"/>
      <c r="S46" s="65"/>
      <c r="T46" s="65">
        <f>IF(Q46&gt;20001,200,IF(Q46&gt;15001,150,IF(Q46&lt;15000,0,)))</f>
        <v>0</v>
      </c>
      <c r="U46" s="65">
        <f>IF(Q46,IF(1,30),IF(1,0))</f>
        <v>30</v>
      </c>
      <c r="V46" s="65"/>
      <c r="W46" s="65"/>
      <c r="X46" s="65"/>
      <c r="Y46" s="65"/>
      <c r="Z46" s="65">
        <f>SUM(R46:Y46)</f>
        <v>30</v>
      </c>
      <c r="AA46" s="65">
        <f>Q46-Z46</f>
        <v>13769</v>
      </c>
      <c r="AB46" s="163" t="s">
        <v>160</v>
      </c>
      <c r="AC46" s="67" t="s">
        <v>36</v>
      </c>
    </row>
    <row r="47" ht="14.5" spans="1:29">
      <c r="A47" s="63"/>
      <c r="B47" s="63"/>
      <c r="C47" s="69" t="s">
        <v>161</v>
      </c>
      <c r="D47" s="65"/>
      <c r="E47" s="63"/>
      <c r="F47" s="63"/>
      <c r="G47" s="63"/>
      <c r="H47" s="63"/>
      <c r="I47" s="63"/>
      <c r="J47" s="66"/>
      <c r="K47" s="63"/>
      <c r="L47" s="63"/>
      <c r="M47" s="63"/>
      <c r="N47" s="63"/>
      <c r="O47" s="63"/>
      <c r="P47" s="63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7"/>
    </row>
    <row r="48" ht="24.75" customHeight="1" spans="1:29">
      <c r="A48" s="63">
        <v>38</v>
      </c>
      <c r="B48" s="63">
        <v>1</v>
      </c>
      <c r="C48" s="70" t="s">
        <v>162</v>
      </c>
      <c r="D48" s="65" t="s">
        <v>68</v>
      </c>
      <c r="E48" s="63">
        <v>33000</v>
      </c>
      <c r="F48" s="63">
        <v>33000</v>
      </c>
      <c r="G48" s="63"/>
      <c r="H48" s="63"/>
      <c r="I48" s="63"/>
      <c r="J48" s="71">
        <v>29</v>
      </c>
      <c r="K48" s="63"/>
      <c r="L48" s="63"/>
      <c r="M48" s="63"/>
      <c r="N48" s="63"/>
      <c r="O48" s="63"/>
      <c r="P48" s="63"/>
      <c r="Q48" s="65">
        <f>ROUNDUP(F48/J$5*J48+N48,0)</f>
        <v>30871</v>
      </c>
      <c r="R48" s="65"/>
      <c r="S48" s="65"/>
      <c r="T48" s="65">
        <f>IF(Q48&gt;20001,200,IF(Q48&gt;15001,150,IF(Q48&lt;15000,0,)))</f>
        <v>200</v>
      </c>
      <c r="U48" s="65">
        <f>IF(Q48,IF(1,30),IF(1,0))</f>
        <v>30</v>
      </c>
      <c r="V48" s="65"/>
      <c r="W48" s="65"/>
      <c r="X48" s="65"/>
      <c r="Y48" s="65"/>
      <c r="Z48" s="65">
        <f>SUM(R48:Y48)</f>
        <v>230</v>
      </c>
      <c r="AA48" s="65">
        <f>Q48-Z48</f>
        <v>30641</v>
      </c>
      <c r="AB48" s="163" t="s">
        <v>163</v>
      </c>
      <c r="AC48" s="67" t="s">
        <v>106</v>
      </c>
    </row>
    <row r="49" ht="14.5" spans="1:30">
      <c r="A49" s="63"/>
      <c r="B49" s="63"/>
      <c r="C49" s="64" t="s">
        <v>164</v>
      </c>
      <c r="D49" s="65"/>
      <c r="E49" s="63"/>
      <c r="F49" s="63"/>
      <c r="G49" s="63"/>
      <c r="H49" s="63"/>
      <c r="I49" s="63"/>
      <c r="J49" s="66"/>
      <c r="K49" s="63"/>
      <c r="L49" s="63"/>
      <c r="M49" s="63"/>
      <c r="N49" s="63"/>
      <c r="O49" s="63"/>
      <c r="P49" s="63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6"/>
      <c r="AC49" s="67"/>
    </row>
    <row r="50" ht="14.5" spans="1:30">
      <c r="A50" s="63"/>
      <c r="B50" s="63"/>
      <c r="C50" s="69" t="s">
        <v>165</v>
      </c>
      <c r="D50" s="65"/>
      <c r="E50" s="63"/>
      <c r="F50" s="63"/>
      <c r="G50" s="63"/>
      <c r="H50" s="63"/>
      <c r="I50" s="63"/>
      <c r="J50" s="66"/>
      <c r="K50" s="63"/>
      <c r="L50" s="63"/>
      <c r="M50" s="63"/>
      <c r="N50" s="63"/>
      <c r="O50" s="63"/>
      <c r="P50" s="63"/>
      <c r="Q50" s="65"/>
      <c r="R50" s="65"/>
      <c r="S50" s="65"/>
      <c r="T50" s="65"/>
      <c r="U50" s="65"/>
      <c r="V50" s="65"/>
      <c r="W50" s="65"/>
      <c r="X50" s="65"/>
      <c r="Y50" s="65"/>
      <c r="Z50" s="65">
        <f t="shared" ref="Z50:Z56" si="23">SUM(R50:Y50)</f>
        <v>0</v>
      </c>
      <c r="AA50" s="65"/>
      <c r="AB50" s="66"/>
      <c r="AC50" s="67"/>
    </row>
    <row r="51" s="49" customFormat="1" ht="30.6" customHeight="1" spans="1:30">
      <c r="A51" s="119">
        <v>39</v>
      </c>
      <c r="B51" s="119">
        <v>14</v>
      </c>
      <c r="C51" s="133" t="s">
        <v>166</v>
      </c>
      <c r="D51" s="134" t="s">
        <v>167</v>
      </c>
      <c r="E51" s="119">
        <v>18000</v>
      </c>
      <c r="F51" s="119">
        <v>18000</v>
      </c>
      <c r="G51" s="119"/>
      <c r="H51" s="119"/>
      <c r="I51" s="119"/>
      <c r="J51" s="135">
        <v>31</v>
      </c>
      <c r="K51" s="119"/>
      <c r="L51" s="119"/>
      <c r="M51" s="119"/>
      <c r="N51" s="119"/>
      <c r="O51" s="119"/>
      <c r="P51" s="119"/>
      <c r="Q51" s="134">
        <f>ROUNDUP(F51/J$5*J51+N51,0)</f>
        <v>18000</v>
      </c>
      <c r="R51" s="134"/>
      <c r="S51" s="134"/>
      <c r="T51" s="134">
        <f>IF(Q51&gt;20001,200,IF(Q51&gt;15001,150,IF(Q51&lt;15000,0,)))</f>
        <v>150</v>
      </c>
      <c r="U51" s="134">
        <f>IF(Q51,IF(1,30),IF(1,0))</f>
        <v>30</v>
      </c>
      <c r="V51" s="134"/>
      <c r="W51" s="134"/>
      <c r="X51" s="134"/>
      <c r="Y51" s="134"/>
      <c r="Z51" s="134">
        <f t="shared" si="23"/>
        <v>180</v>
      </c>
      <c r="AA51" s="134">
        <f>Q51-Z51</f>
        <v>17820</v>
      </c>
      <c r="AB51" s="163" t="s">
        <v>168</v>
      </c>
      <c r="AC51" s="67" t="s">
        <v>36</v>
      </c>
    </row>
    <row r="52" ht="14.5" spans="1:30">
      <c r="A52" s="63"/>
      <c r="B52" s="63"/>
      <c r="C52" s="69" t="s">
        <v>169</v>
      </c>
      <c r="D52" s="65"/>
      <c r="E52" s="63"/>
      <c r="F52" s="63"/>
      <c r="G52" s="63"/>
      <c r="H52" s="63"/>
      <c r="I52" s="63"/>
      <c r="J52" s="66"/>
      <c r="K52" s="63"/>
      <c r="L52" s="63"/>
      <c r="M52" s="63"/>
      <c r="N52" s="63"/>
      <c r="O52" s="63"/>
      <c r="P52" s="63"/>
      <c r="Q52" s="65"/>
      <c r="R52" s="65"/>
      <c r="S52" s="65"/>
      <c r="T52" s="65"/>
      <c r="U52" s="65"/>
      <c r="V52" s="65"/>
      <c r="W52" s="65"/>
      <c r="X52" s="65"/>
      <c r="Y52" s="65"/>
      <c r="Z52" s="65">
        <f t="shared" si="23"/>
        <v>0</v>
      </c>
      <c r="AA52" s="65"/>
      <c r="AB52" s="66"/>
      <c r="AC52" s="67"/>
    </row>
    <row r="53" ht="22.5" customHeight="1" spans="1:30">
      <c r="A53" s="63">
        <v>40</v>
      </c>
      <c r="B53" s="63">
        <f>B52+1</f>
        <v>1</v>
      </c>
      <c r="C53" s="70" t="s">
        <v>170</v>
      </c>
      <c r="D53" s="65" t="s">
        <v>171</v>
      </c>
      <c r="E53" s="63">
        <v>17000</v>
      </c>
      <c r="F53" s="63">
        <v>17000</v>
      </c>
      <c r="G53" s="63"/>
      <c r="H53" s="63"/>
      <c r="I53" s="63"/>
      <c r="J53" s="71">
        <v>31</v>
      </c>
      <c r="K53" s="63"/>
      <c r="L53" s="63"/>
      <c r="M53" s="63"/>
      <c r="N53" s="63"/>
      <c r="O53" s="63"/>
      <c r="P53" s="63"/>
      <c r="Q53" s="65">
        <f>ROUNDUP(F53/J$5*J53+N53,0)</f>
        <v>17000</v>
      </c>
      <c r="R53" s="65"/>
      <c r="S53" s="65"/>
      <c r="T53" s="65">
        <f t="shared" ref="T53:T56" si="24">IF(Q53&gt;20001,200,IF(Q53&gt;15001,150,IF(Q53&lt;15000,0,)))</f>
        <v>150</v>
      </c>
      <c r="U53" s="65">
        <f t="shared" ref="U53:U56" si="25">IF(Q53,IF(1,30),IF(1,0))</f>
        <v>30</v>
      </c>
      <c r="V53" s="65"/>
      <c r="W53" s="65"/>
      <c r="X53" s="65"/>
      <c r="Y53" s="65">
        <v>658</v>
      </c>
      <c r="Z53" s="65">
        <f t="shared" si="23"/>
        <v>838</v>
      </c>
      <c r="AA53" s="65">
        <f t="shared" ref="AA53:AA56" si="26">Q53-Z53</f>
        <v>16162</v>
      </c>
      <c r="AB53" s="163" t="s">
        <v>172</v>
      </c>
      <c r="AC53" s="67" t="s">
        <v>36</v>
      </c>
    </row>
    <row r="54" ht="22.5" customHeight="1" spans="1:30">
      <c r="A54" s="63">
        <v>41</v>
      </c>
      <c r="B54" s="63">
        <v>2</v>
      </c>
      <c r="C54" s="70" t="s">
        <v>173</v>
      </c>
      <c r="D54" s="65" t="s">
        <v>171</v>
      </c>
      <c r="E54" s="63">
        <v>14500</v>
      </c>
      <c r="F54" s="63">
        <v>14500</v>
      </c>
      <c r="G54" s="63"/>
      <c r="H54" s="63"/>
      <c r="I54" s="63"/>
      <c r="J54" s="71">
        <v>29</v>
      </c>
      <c r="K54" s="63"/>
      <c r="L54" s="63"/>
      <c r="M54" s="63"/>
      <c r="N54" s="63"/>
      <c r="O54" s="63"/>
      <c r="P54" s="63"/>
      <c r="Q54" s="65">
        <f>ROUNDUP(F54/J$5*J54+N54,0)</f>
        <v>13565</v>
      </c>
      <c r="R54" s="65"/>
      <c r="S54" s="65"/>
      <c r="T54" s="65">
        <f t="shared" si="24"/>
        <v>0</v>
      </c>
      <c r="U54" s="65">
        <f t="shared" si="25"/>
        <v>30</v>
      </c>
      <c r="V54" s="65"/>
      <c r="W54" s="65"/>
      <c r="X54" s="65"/>
      <c r="Y54" s="65"/>
      <c r="Z54" s="65">
        <f t="shared" si="23"/>
        <v>30</v>
      </c>
      <c r="AA54" s="65">
        <f t="shared" si="26"/>
        <v>13535</v>
      </c>
      <c r="AB54" s="163" t="s">
        <v>174</v>
      </c>
      <c r="AC54" s="67" t="s">
        <v>36</v>
      </c>
    </row>
    <row r="55" ht="22.5" customHeight="1" spans="1:30">
      <c r="A55" s="63">
        <v>42</v>
      </c>
      <c r="B55" s="63">
        <f>B54+1</f>
        <v>3</v>
      </c>
      <c r="C55" s="70" t="s">
        <v>175</v>
      </c>
      <c r="D55" s="65" t="s">
        <v>171</v>
      </c>
      <c r="E55" s="63">
        <v>14000</v>
      </c>
      <c r="F55" s="63">
        <v>14000</v>
      </c>
      <c r="G55" s="63"/>
      <c r="H55" s="63"/>
      <c r="I55" s="63"/>
      <c r="J55" s="71">
        <v>25</v>
      </c>
      <c r="K55" s="63"/>
      <c r="L55" s="63"/>
      <c r="M55" s="63"/>
      <c r="N55" s="63"/>
      <c r="O55" s="63"/>
      <c r="P55" s="63"/>
      <c r="Q55" s="65">
        <f>ROUNDUP(F55/J$5*J55+N55,0)</f>
        <v>11291</v>
      </c>
      <c r="R55" s="65"/>
      <c r="S55" s="65"/>
      <c r="T55" s="65">
        <f t="shared" si="24"/>
        <v>0</v>
      </c>
      <c r="U55" s="65">
        <f t="shared" si="25"/>
        <v>30</v>
      </c>
      <c r="V55" s="65"/>
      <c r="W55" s="65"/>
      <c r="X55" s="65"/>
      <c r="Y55" s="65"/>
      <c r="Z55" s="65">
        <f t="shared" si="23"/>
        <v>30</v>
      </c>
      <c r="AA55" s="65">
        <f t="shared" si="26"/>
        <v>11261</v>
      </c>
      <c r="AB55" s="173" t="s">
        <v>176</v>
      </c>
      <c r="AC55" s="67" t="s">
        <v>36</v>
      </c>
    </row>
    <row r="56" s="43" customFormat="1" ht="22.5" customHeight="1" spans="1:30">
      <c r="A56" s="80">
        <v>43</v>
      </c>
      <c r="B56" s="80">
        <v>4</v>
      </c>
      <c r="C56" s="78" t="s">
        <v>177</v>
      </c>
      <c r="D56" s="79" t="s">
        <v>61</v>
      </c>
      <c r="E56" s="80">
        <v>12000</v>
      </c>
      <c r="F56" s="80">
        <v>12000</v>
      </c>
      <c r="G56" s="80"/>
      <c r="H56" s="80"/>
      <c r="I56" s="80"/>
      <c r="J56" s="81">
        <v>31</v>
      </c>
      <c r="K56" s="80"/>
      <c r="L56" s="80"/>
      <c r="M56" s="80"/>
      <c r="N56" s="80"/>
      <c r="O56" s="80"/>
      <c r="P56" s="80"/>
      <c r="Q56" s="79">
        <f>ROUNDUP(F56/J$5*J56+N56,0)</f>
        <v>12000</v>
      </c>
      <c r="R56" s="79"/>
      <c r="S56" s="79"/>
      <c r="T56" s="79">
        <f t="shared" si="24"/>
        <v>0</v>
      </c>
      <c r="U56" s="79">
        <f t="shared" si="25"/>
        <v>30</v>
      </c>
      <c r="V56" s="79"/>
      <c r="W56" s="79"/>
      <c r="X56" s="79"/>
      <c r="Y56" s="79"/>
      <c r="Z56" s="79">
        <f t="shared" si="23"/>
        <v>30</v>
      </c>
      <c r="AA56" s="79">
        <f t="shared" si="26"/>
        <v>11970</v>
      </c>
      <c r="AB56" s="173" t="s">
        <v>178</v>
      </c>
      <c r="AC56" s="67" t="s">
        <v>179</v>
      </c>
    </row>
    <row r="57" customHeight="1" spans="1:30">
      <c r="A57" s="63"/>
      <c r="B57" s="63"/>
      <c r="C57" s="69" t="s">
        <v>180</v>
      </c>
      <c r="D57" s="65"/>
      <c r="E57" s="63"/>
      <c r="F57" s="63"/>
      <c r="G57" s="63"/>
      <c r="H57" s="63"/>
      <c r="I57" s="63"/>
      <c r="J57" s="66"/>
      <c r="K57" s="63"/>
      <c r="L57" s="63"/>
      <c r="M57" s="63"/>
      <c r="N57" s="63"/>
      <c r="O57" s="63"/>
      <c r="P57" s="63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6"/>
      <c r="AC57" s="67"/>
    </row>
    <row r="58" ht="27.75" customHeight="1" spans="1:30">
      <c r="A58" s="63">
        <v>44</v>
      </c>
      <c r="B58" s="63">
        <v>1</v>
      </c>
      <c r="C58" s="70" t="s">
        <v>181</v>
      </c>
      <c r="D58" s="65" t="s">
        <v>171</v>
      </c>
      <c r="E58" s="63">
        <v>11000</v>
      </c>
      <c r="F58" s="63">
        <v>11000</v>
      </c>
      <c r="G58" s="63"/>
      <c r="H58" s="63"/>
      <c r="I58" s="63"/>
      <c r="J58" s="71">
        <v>31</v>
      </c>
      <c r="K58" s="63"/>
      <c r="L58" s="63"/>
      <c r="M58" s="63"/>
      <c r="N58" s="63"/>
      <c r="O58" s="63"/>
      <c r="P58" s="63"/>
      <c r="Q58" s="65">
        <f>ROUNDUP(F58/J$5*J58+N58,0)</f>
        <v>11000</v>
      </c>
      <c r="R58" s="65">
        <f>ROUNDUP(Q58*12/100,0)</f>
        <v>1320</v>
      </c>
      <c r="S58" s="65"/>
      <c r="T58" s="65">
        <f>IF(Q58&gt;20001,200,IF(Q58&gt;15001,150,IF(Q58&lt;15000,0,)))</f>
        <v>0</v>
      </c>
      <c r="U58" s="65">
        <f>IF(Q58,IF(1,30),IF(1,0))</f>
        <v>30</v>
      </c>
      <c r="V58" s="65"/>
      <c r="W58" s="65"/>
      <c r="X58" s="65"/>
      <c r="Y58" s="65"/>
      <c r="Z58" s="65">
        <f>SUM(R58:Y58)</f>
        <v>1350</v>
      </c>
      <c r="AA58" s="65">
        <f>Q58-Z58</f>
        <v>9650</v>
      </c>
      <c r="AB58" s="163" t="s">
        <v>182</v>
      </c>
      <c r="AC58" s="67" t="s">
        <v>36</v>
      </c>
    </row>
    <row r="59" ht="27.75" customHeight="1" spans="1:30">
      <c r="A59" s="63">
        <v>45</v>
      </c>
      <c r="B59" s="63">
        <v>2</v>
      </c>
      <c r="C59" s="70" t="s">
        <v>183</v>
      </c>
      <c r="D59" s="65" t="s">
        <v>171</v>
      </c>
      <c r="E59" s="63">
        <v>14000</v>
      </c>
      <c r="F59" s="63">
        <v>14000</v>
      </c>
      <c r="G59" s="63"/>
      <c r="H59" s="63"/>
      <c r="I59" s="63"/>
      <c r="J59" s="71">
        <v>31</v>
      </c>
      <c r="K59" s="63"/>
      <c r="L59" s="63"/>
      <c r="M59" s="63"/>
      <c r="N59" s="63"/>
      <c r="O59" s="63"/>
      <c r="P59" s="63"/>
      <c r="Q59" s="65">
        <f>ROUNDUP(F59/J$5*J59+N59,0)</f>
        <v>14000</v>
      </c>
      <c r="R59" s="65"/>
      <c r="S59" s="65"/>
      <c r="T59" s="65">
        <f t="shared" ref="T59:T62" si="27">IF(Q59&gt;20001,200,IF(Q59&gt;15001,150,IF(Q59&lt;15000,0,)))</f>
        <v>0</v>
      </c>
      <c r="U59" s="65">
        <f t="shared" ref="U59:U62" si="28">IF(Q59,IF(1,30),IF(1,0))</f>
        <v>30</v>
      </c>
      <c r="V59" s="65"/>
      <c r="W59" s="65"/>
      <c r="X59" s="65"/>
      <c r="Y59" s="65"/>
      <c r="Z59" s="65">
        <f t="shared" ref="Z59:Z62" si="29">SUM(R59:Y59)</f>
        <v>30</v>
      </c>
      <c r="AA59" s="65">
        <f t="shared" ref="AA59:AA62" si="30">Q59-Z59</f>
        <v>13970</v>
      </c>
      <c r="AB59" s="163" t="s">
        <v>184</v>
      </c>
      <c r="AC59" s="67" t="s">
        <v>36</v>
      </c>
    </row>
    <row r="60" ht="27.75" customHeight="1" spans="1:30">
      <c r="A60" s="63">
        <v>46</v>
      </c>
      <c r="B60" s="63">
        <v>3</v>
      </c>
      <c r="C60" s="70" t="s">
        <v>185</v>
      </c>
      <c r="D60" s="65" t="s">
        <v>171</v>
      </c>
      <c r="E60" s="63">
        <v>13000</v>
      </c>
      <c r="F60" s="63">
        <v>13000</v>
      </c>
      <c r="G60" s="63"/>
      <c r="H60" s="63"/>
      <c r="I60" s="63"/>
      <c r="J60" s="71">
        <v>31</v>
      </c>
      <c r="K60" s="63"/>
      <c r="L60" s="63"/>
      <c r="M60" s="63"/>
      <c r="N60" s="63"/>
      <c r="O60" s="63"/>
      <c r="P60" s="63"/>
      <c r="Q60" s="65">
        <f>ROUNDUP(F60/J$5*J60+N60,0)</f>
        <v>13000</v>
      </c>
      <c r="R60" s="65"/>
      <c r="S60" s="65"/>
      <c r="T60" s="65">
        <f t="shared" si="27"/>
        <v>0</v>
      </c>
      <c r="U60" s="65">
        <f t="shared" si="28"/>
        <v>30</v>
      </c>
      <c r="V60" s="65"/>
      <c r="W60" s="65"/>
      <c r="X60" s="65"/>
      <c r="Y60" s="65"/>
      <c r="Z60" s="65">
        <f t="shared" si="29"/>
        <v>30</v>
      </c>
      <c r="AA60" s="65">
        <f t="shared" si="30"/>
        <v>12970</v>
      </c>
      <c r="AB60" s="163" t="s">
        <v>186</v>
      </c>
      <c r="AC60" s="67" t="s">
        <v>36</v>
      </c>
    </row>
    <row r="61" ht="27.75" customHeight="1" spans="1:30">
      <c r="A61" s="63">
        <v>47</v>
      </c>
      <c r="B61" s="63">
        <v>4</v>
      </c>
      <c r="C61" s="70" t="s">
        <v>187</v>
      </c>
      <c r="D61" s="65" t="s">
        <v>171</v>
      </c>
      <c r="E61" s="63">
        <v>16500</v>
      </c>
      <c r="F61" s="63">
        <v>16500</v>
      </c>
      <c r="G61" s="63"/>
      <c r="H61" s="63"/>
      <c r="I61" s="63"/>
      <c r="J61" s="71">
        <v>31</v>
      </c>
      <c r="K61" s="63"/>
      <c r="L61" s="63"/>
      <c r="M61" s="63"/>
      <c r="N61" s="63"/>
      <c r="O61" s="63"/>
      <c r="P61" s="63"/>
      <c r="Q61" s="65">
        <f>ROUNDUP(F61/J$5*J61+N61,0)</f>
        <v>16500</v>
      </c>
      <c r="R61" s="65"/>
      <c r="S61" s="65"/>
      <c r="T61" s="65">
        <f t="shared" si="27"/>
        <v>150</v>
      </c>
      <c r="U61" s="65">
        <f t="shared" si="28"/>
        <v>30</v>
      </c>
      <c r="V61" s="65"/>
      <c r="W61" s="65"/>
      <c r="X61" s="65"/>
      <c r="Y61" s="65"/>
      <c r="Z61" s="65">
        <f t="shared" si="29"/>
        <v>180</v>
      </c>
      <c r="AA61" s="65">
        <f t="shared" si="30"/>
        <v>16320</v>
      </c>
      <c r="AB61" s="174" t="s">
        <v>188</v>
      </c>
      <c r="AC61" s="137" t="s">
        <v>70</v>
      </c>
    </row>
    <row r="62" ht="27.75" customHeight="1" spans="1:30">
      <c r="A62" s="63">
        <v>48</v>
      </c>
      <c r="B62" s="63">
        <v>5</v>
      </c>
      <c r="C62" s="70" t="s">
        <v>189</v>
      </c>
      <c r="D62" s="65" t="s">
        <v>48</v>
      </c>
      <c r="E62" s="63">
        <v>11500</v>
      </c>
      <c r="F62" s="63">
        <v>11500</v>
      </c>
      <c r="G62" s="63"/>
      <c r="H62" s="63"/>
      <c r="I62" s="63"/>
      <c r="J62" s="71">
        <v>31</v>
      </c>
      <c r="K62" s="63"/>
      <c r="L62" s="63"/>
      <c r="M62" s="63"/>
      <c r="N62" s="63"/>
      <c r="O62" s="63"/>
      <c r="P62" s="63"/>
      <c r="Q62" s="65">
        <f>ROUNDUP(F62/J$5*J62+N62,0)</f>
        <v>11500</v>
      </c>
      <c r="R62" s="65"/>
      <c r="S62" s="65"/>
      <c r="T62" s="65">
        <f t="shared" si="27"/>
        <v>0</v>
      </c>
      <c r="U62" s="65">
        <f t="shared" si="28"/>
        <v>30</v>
      </c>
      <c r="V62" s="65"/>
      <c r="W62" s="65"/>
      <c r="X62" s="65"/>
      <c r="Y62" s="65"/>
      <c r="Z62" s="65">
        <f t="shared" si="29"/>
        <v>30</v>
      </c>
      <c r="AA62" s="65">
        <f t="shared" si="30"/>
        <v>11470</v>
      </c>
      <c r="AB62" s="175" t="s">
        <v>190</v>
      </c>
      <c r="AC62" s="67" t="s">
        <v>191</v>
      </c>
    </row>
    <row r="63" ht="14.5" spans="1:30">
      <c r="A63" s="63"/>
      <c r="B63" s="63"/>
      <c r="C63" s="69" t="s">
        <v>192</v>
      </c>
      <c r="D63" s="65"/>
      <c r="E63" s="63"/>
      <c r="F63" s="63"/>
      <c r="G63" s="63"/>
      <c r="H63" s="63"/>
      <c r="I63" s="63"/>
      <c r="J63" s="66"/>
      <c r="K63" s="63"/>
      <c r="L63" s="63"/>
      <c r="M63" s="63"/>
      <c r="N63" s="63"/>
      <c r="O63" s="63"/>
      <c r="P63" s="63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6"/>
      <c r="AC63" s="67"/>
    </row>
    <row r="64" s="49" customFormat="1" ht="24.75" customHeight="1" spans="1:30">
      <c r="A64" s="90">
        <v>49</v>
      </c>
      <c r="B64" s="90">
        <v>1</v>
      </c>
      <c r="C64" s="91" t="s">
        <v>193</v>
      </c>
      <c r="D64" s="92" t="s">
        <v>171</v>
      </c>
      <c r="E64" s="90">
        <v>19500</v>
      </c>
      <c r="F64" s="90">
        <v>19500</v>
      </c>
      <c r="G64" s="90"/>
      <c r="H64" s="90"/>
      <c r="I64" s="90"/>
      <c r="J64" s="93">
        <v>30</v>
      </c>
      <c r="K64" s="90"/>
      <c r="L64" s="90"/>
      <c r="M64" s="90"/>
      <c r="N64" s="90">
        <v>-5400</v>
      </c>
      <c r="O64" s="90"/>
      <c r="P64" s="90"/>
      <c r="Q64" s="92">
        <f>ROUNDUP(F64/J$5*J64+N64,0)</f>
        <v>13471</v>
      </c>
      <c r="R64" s="92">
        <v>1800</v>
      </c>
      <c r="S64" s="92"/>
      <c r="T64" s="92">
        <f>IF(Q64&gt;20001,200,IF(Q64&gt;15001,150,IF(Q64&lt;15000,0,)))</f>
        <v>0</v>
      </c>
      <c r="U64" s="92">
        <f>IF(Q64,IF(1,30),IF(1,0))</f>
        <v>30</v>
      </c>
      <c r="V64" s="92"/>
      <c r="W64" s="92"/>
      <c r="X64" s="92"/>
      <c r="Y64" s="92"/>
      <c r="Z64" s="92">
        <f>SUM(R64:Y64)</f>
        <v>1830</v>
      </c>
      <c r="AA64" s="92">
        <f>Q64-Z64</f>
        <v>11641</v>
      </c>
      <c r="AB64" s="176" t="s">
        <v>194</v>
      </c>
      <c r="AC64" s="95" t="s">
        <v>36</v>
      </c>
      <c r="AD64" s="49" t="s">
        <v>195</v>
      </c>
    </row>
    <row r="65" ht="24.75" customHeight="1" spans="1:30">
      <c r="A65" s="63">
        <v>50</v>
      </c>
      <c r="B65" s="63">
        <v>2</v>
      </c>
      <c r="C65" s="70" t="s">
        <v>196</v>
      </c>
      <c r="D65" s="65" t="s">
        <v>171</v>
      </c>
      <c r="E65" s="63">
        <v>12000</v>
      </c>
      <c r="F65" s="63">
        <v>12000</v>
      </c>
      <c r="G65" s="63"/>
      <c r="H65" s="63"/>
      <c r="I65" s="63"/>
      <c r="J65" s="71">
        <v>31</v>
      </c>
      <c r="K65" s="63"/>
      <c r="L65" s="63"/>
      <c r="M65" s="63"/>
      <c r="N65" s="63"/>
      <c r="O65" s="63"/>
      <c r="P65" s="63"/>
      <c r="Q65" s="65">
        <f>ROUNDUP(F65/J$5*J65+N65,0)</f>
        <v>12000</v>
      </c>
      <c r="R65" s="65"/>
      <c r="S65" s="65"/>
      <c r="T65" s="65">
        <f t="shared" ref="T65:T66" si="31">IF(Q65&gt;20001,200,IF(Q65&gt;15001,150,IF(Q65&lt;15000,0,)))</f>
        <v>0</v>
      </c>
      <c r="U65" s="65">
        <f t="shared" ref="U65:U66" si="32">IF(Q65,IF(1,30),IF(1,0))</f>
        <v>30</v>
      </c>
      <c r="V65" s="65"/>
      <c r="W65" s="65"/>
      <c r="X65" s="65"/>
      <c r="Y65" s="65"/>
      <c r="Z65" s="65">
        <f t="shared" ref="Z65:Z66" si="33">SUM(R65:Y65)</f>
        <v>30</v>
      </c>
      <c r="AA65" s="65">
        <f t="shared" ref="AA65:AA66" si="34">Q65-Z65</f>
        <v>11970</v>
      </c>
      <c r="AB65" s="177" t="s">
        <v>197</v>
      </c>
      <c r="AC65" s="67" t="s">
        <v>109</v>
      </c>
    </row>
    <row r="66" ht="24.75" customHeight="1" spans="1:30">
      <c r="A66" s="63">
        <v>51</v>
      </c>
      <c r="B66" s="63">
        <v>3</v>
      </c>
      <c r="C66" s="70" t="s">
        <v>198</v>
      </c>
      <c r="D66" s="65" t="s">
        <v>199</v>
      </c>
      <c r="E66" s="63">
        <v>12000</v>
      </c>
      <c r="F66" s="63">
        <v>12000</v>
      </c>
      <c r="G66" s="63"/>
      <c r="H66" s="63"/>
      <c r="I66" s="63"/>
      <c r="J66" s="71">
        <v>31</v>
      </c>
      <c r="K66" s="63"/>
      <c r="L66" s="63"/>
      <c r="M66" s="63"/>
      <c r="N66" s="63"/>
      <c r="O66" s="63"/>
      <c r="P66" s="63"/>
      <c r="Q66" s="65">
        <f>ROUNDUP(F66/J$5*J66+N66,0)</f>
        <v>12000</v>
      </c>
      <c r="R66" s="65"/>
      <c r="S66" s="65"/>
      <c r="T66" s="65">
        <f t="shared" si="31"/>
        <v>0</v>
      </c>
      <c r="U66" s="65">
        <f t="shared" si="32"/>
        <v>30</v>
      </c>
      <c r="V66" s="65"/>
      <c r="W66" s="65"/>
      <c r="X66" s="65"/>
      <c r="Y66" s="65"/>
      <c r="Z66" s="65">
        <f t="shared" si="33"/>
        <v>30</v>
      </c>
      <c r="AA66" s="65">
        <f t="shared" si="34"/>
        <v>11970</v>
      </c>
      <c r="AB66" s="163" t="s">
        <v>200</v>
      </c>
      <c r="AC66" s="67" t="s">
        <v>201</v>
      </c>
    </row>
    <row r="67" ht="14.5" spans="1:30">
      <c r="A67" s="63"/>
      <c r="B67" s="63"/>
      <c r="C67" s="69" t="s">
        <v>202</v>
      </c>
      <c r="D67" s="65"/>
      <c r="E67" s="63"/>
      <c r="F67" s="63"/>
      <c r="G67" s="63"/>
      <c r="H67" s="63"/>
      <c r="I67" s="63"/>
      <c r="J67" s="66"/>
      <c r="K67" s="63"/>
      <c r="L67" s="63"/>
      <c r="M67" s="63"/>
      <c r="N67" s="63"/>
      <c r="O67" s="63"/>
      <c r="P67" s="63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6"/>
      <c r="AC67" s="67"/>
    </row>
    <row r="68" ht="30" customHeight="1" spans="1:30">
      <c r="A68" s="67">
        <v>52</v>
      </c>
      <c r="B68" s="63">
        <v>1</v>
      </c>
      <c r="C68" s="70" t="s">
        <v>203</v>
      </c>
      <c r="D68" s="65" t="s">
        <v>48</v>
      </c>
      <c r="E68" s="63">
        <v>14000</v>
      </c>
      <c r="F68" s="63">
        <v>14000</v>
      </c>
      <c r="G68" s="63"/>
      <c r="H68" s="63"/>
      <c r="I68" s="63"/>
      <c r="J68" s="71">
        <v>30</v>
      </c>
      <c r="K68" s="63"/>
      <c r="L68" s="63"/>
      <c r="M68" s="63"/>
      <c r="N68" s="63"/>
      <c r="O68" s="63"/>
      <c r="P68" s="63"/>
      <c r="Q68" s="65">
        <f>ROUNDUP(F68/J$5*J68+N68,0)</f>
        <v>13549</v>
      </c>
      <c r="R68" s="65"/>
      <c r="S68" s="65"/>
      <c r="T68" s="65">
        <f>IF(Q68&gt;20001,200,IF(Q68&gt;15001,150,IF(Q68&lt;15000,0,)))</f>
        <v>0</v>
      </c>
      <c r="U68" s="65">
        <f>IF(Q68,IF(1,30),IF(1,0))</f>
        <v>30</v>
      </c>
      <c r="V68" s="65"/>
      <c r="W68" s="65"/>
      <c r="X68" s="65"/>
      <c r="Y68" s="65"/>
      <c r="Z68" s="65">
        <f>SUM(R68:Y68)</f>
        <v>30</v>
      </c>
      <c r="AA68" s="65">
        <f>Q68-Z68</f>
        <v>13519</v>
      </c>
      <c r="AB68" s="163" t="s">
        <v>204</v>
      </c>
      <c r="AC68" s="67" t="s">
        <v>205</v>
      </c>
    </row>
    <row r="69" ht="25.5" customHeight="1" spans="1:30">
      <c r="A69" s="67">
        <v>53</v>
      </c>
      <c r="B69" s="63">
        <v>2</v>
      </c>
      <c r="C69" s="70" t="s">
        <v>206</v>
      </c>
      <c r="D69" s="65" t="s">
        <v>171</v>
      </c>
      <c r="E69" s="63">
        <v>14500</v>
      </c>
      <c r="F69" s="63">
        <v>14500</v>
      </c>
      <c r="G69" s="63"/>
      <c r="H69" s="63"/>
      <c r="I69" s="63"/>
      <c r="J69" s="71">
        <v>29</v>
      </c>
      <c r="K69" s="63"/>
      <c r="L69" s="63"/>
      <c r="M69" s="63"/>
      <c r="N69" s="63"/>
      <c r="O69" s="63"/>
      <c r="P69" s="63"/>
      <c r="Q69" s="65">
        <f>ROUNDUP(F69/J$5*J69+N69,0)</f>
        <v>13565</v>
      </c>
      <c r="R69" s="65"/>
      <c r="S69" s="65"/>
      <c r="T69" s="65">
        <f>IF(Q69&gt;20001,200,IF(Q69&gt;15001,150,IF(Q69&lt;15000,0,)))</f>
        <v>0</v>
      </c>
      <c r="U69" s="65">
        <f>IF(Q69,IF(1,30),IF(1,0))</f>
        <v>30</v>
      </c>
      <c r="V69" s="65"/>
      <c r="W69" s="65"/>
      <c r="X69" s="65"/>
      <c r="Y69" s="65"/>
      <c r="Z69" s="65">
        <f>SUM(R69:Y69)</f>
        <v>30</v>
      </c>
      <c r="AA69" s="65">
        <f>Q69-Z69</f>
        <v>13535</v>
      </c>
      <c r="AB69" s="163" t="s">
        <v>207</v>
      </c>
      <c r="AC69" s="67" t="s">
        <v>36</v>
      </c>
    </row>
    <row r="70" ht="25.5" customHeight="1" spans="1:30">
      <c r="A70" s="67">
        <v>54</v>
      </c>
      <c r="B70" s="63">
        <v>3</v>
      </c>
      <c r="C70" s="70" t="s">
        <v>208</v>
      </c>
      <c r="D70" s="65" t="s">
        <v>171</v>
      </c>
      <c r="E70" s="63">
        <v>18500</v>
      </c>
      <c r="F70" s="63">
        <v>18500</v>
      </c>
      <c r="G70" s="63"/>
      <c r="H70" s="63"/>
      <c r="I70" s="63"/>
      <c r="J70" s="71">
        <v>31</v>
      </c>
      <c r="K70" s="63"/>
      <c r="L70" s="63"/>
      <c r="M70" s="63"/>
      <c r="N70" s="63"/>
      <c r="O70" s="63"/>
      <c r="P70" s="63"/>
      <c r="Q70" s="65">
        <f t="shared" ref="Q70:Q76" si="35">ROUNDUP(F70/J$5*J70+N70,0)</f>
        <v>18500</v>
      </c>
      <c r="R70" s="65"/>
      <c r="S70" s="65"/>
      <c r="T70" s="65">
        <f t="shared" ref="T70:T74" si="36">IF(Q70&gt;20001,200,IF(Q70&gt;15001,150,IF(Q70&lt;15000,0,)))</f>
        <v>150</v>
      </c>
      <c r="U70" s="65">
        <f t="shared" ref="U70:U74" si="37">IF(Q70,IF(1,30),IF(1,0))</f>
        <v>30</v>
      </c>
      <c r="V70" s="65"/>
      <c r="W70" s="65"/>
      <c r="X70" s="65"/>
      <c r="Y70" s="65"/>
      <c r="Z70" s="65">
        <f t="shared" ref="Z70:Z74" si="38">SUM(R70:Y70)</f>
        <v>180</v>
      </c>
      <c r="AA70" s="65">
        <f t="shared" ref="AA70:AA76" si="39">Q70-Z70</f>
        <v>18320</v>
      </c>
      <c r="AB70" s="67" t="s">
        <v>209</v>
      </c>
      <c r="AC70" s="67" t="s">
        <v>210</v>
      </c>
    </row>
    <row r="71" ht="25.5" customHeight="1" spans="1:30">
      <c r="A71" s="67">
        <v>55</v>
      </c>
      <c r="B71" s="63">
        <v>4</v>
      </c>
      <c r="C71" s="70" t="s">
        <v>211</v>
      </c>
      <c r="D71" s="65" t="s">
        <v>171</v>
      </c>
      <c r="E71" s="63">
        <v>18000</v>
      </c>
      <c r="F71" s="63">
        <v>18000</v>
      </c>
      <c r="G71" s="63"/>
      <c r="H71" s="63"/>
      <c r="I71" s="63"/>
      <c r="J71" s="71">
        <v>26</v>
      </c>
      <c r="K71" s="63"/>
      <c r="L71" s="63"/>
      <c r="M71" s="63"/>
      <c r="N71" s="63"/>
      <c r="O71" s="63"/>
      <c r="P71" s="63"/>
      <c r="Q71" s="65">
        <f t="shared" si="35"/>
        <v>15097</v>
      </c>
      <c r="R71" s="65"/>
      <c r="S71" s="65"/>
      <c r="T71" s="65">
        <f t="shared" si="36"/>
        <v>150</v>
      </c>
      <c r="U71" s="65">
        <f t="shared" si="37"/>
        <v>30</v>
      </c>
      <c r="V71" s="65"/>
      <c r="W71" s="65"/>
      <c r="X71" s="65"/>
      <c r="Y71" s="65"/>
      <c r="Z71" s="65">
        <f t="shared" si="38"/>
        <v>180</v>
      </c>
      <c r="AA71" s="65">
        <f t="shared" si="39"/>
        <v>14917</v>
      </c>
      <c r="AB71" s="163" t="s">
        <v>212</v>
      </c>
      <c r="AC71" s="67" t="s">
        <v>213</v>
      </c>
    </row>
    <row r="72" ht="25.5" customHeight="1" spans="1:30">
      <c r="A72" s="67">
        <v>56</v>
      </c>
      <c r="B72" s="63">
        <v>5</v>
      </c>
      <c r="C72" s="70" t="s">
        <v>214</v>
      </c>
      <c r="D72" s="65" t="s">
        <v>171</v>
      </c>
      <c r="E72" s="63">
        <v>12000</v>
      </c>
      <c r="F72" s="63">
        <v>12000</v>
      </c>
      <c r="G72" s="63"/>
      <c r="H72" s="63"/>
      <c r="I72" s="63"/>
      <c r="J72" s="71">
        <v>31</v>
      </c>
      <c r="K72" s="63"/>
      <c r="L72" s="63"/>
      <c r="M72" s="63"/>
      <c r="N72" s="63"/>
      <c r="O72" s="63"/>
      <c r="P72" s="63"/>
      <c r="Q72" s="65">
        <f t="shared" si="35"/>
        <v>12000</v>
      </c>
      <c r="R72" s="65"/>
      <c r="S72" s="65"/>
      <c r="T72" s="65">
        <f t="shared" ref="T72:T73" si="40">IF(Q72&gt;20001,200,IF(Q72&gt;15001,150,IF(Q72&lt;15000,0,)))</f>
        <v>0</v>
      </c>
      <c r="U72" s="65">
        <f t="shared" ref="U72:U73" si="41">IF(Q72,IF(1,30),IF(1,0))</f>
        <v>30</v>
      </c>
      <c r="V72" s="65"/>
      <c r="W72" s="65"/>
      <c r="X72" s="65"/>
      <c r="Y72" s="65"/>
      <c r="Z72" s="65">
        <f t="shared" ref="Z72:Z73" si="42">SUM(R72:Y72)</f>
        <v>30</v>
      </c>
      <c r="AA72" s="65">
        <f t="shared" ref="AA72:AA73" si="43">Q72-Z72</f>
        <v>11970</v>
      </c>
      <c r="AB72" s="163" t="s">
        <v>215</v>
      </c>
      <c r="AC72" s="67" t="s">
        <v>216</v>
      </c>
    </row>
    <row r="73" ht="25.5" customHeight="1" spans="1:30">
      <c r="A73" s="67">
        <v>57</v>
      </c>
      <c r="B73" s="63">
        <v>6</v>
      </c>
      <c r="C73" s="70" t="s">
        <v>217</v>
      </c>
      <c r="D73" s="65" t="s">
        <v>171</v>
      </c>
      <c r="E73" s="63">
        <v>12000</v>
      </c>
      <c r="F73" s="63">
        <v>12000</v>
      </c>
      <c r="G73" s="63"/>
      <c r="H73" s="63"/>
      <c r="I73" s="63"/>
      <c r="J73" s="71">
        <v>31</v>
      </c>
      <c r="K73" s="63"/>
      <c r="L73" s="63"/>
      <c r="M73" s="63"/>
      <c r="N73" s="63"/>
      <c r="O73" s="63"/>
      <c r="P73" s="63"/>
      <c r="Q73" s="65">
        <f t="shared" si="35"/>
        <v>12000</v>
      </c>
      <c r="R73" s="65"/>
      <c r="S73" s="65"/>
      <c r="T73" s="65">
        <f t="shared" si="40"/>
        <v>0</v>
      </c>
      <c r="U73" s="65">
        <f t="shared" si="41"/>
        <v>30</v>
      </c>
      <c r="V73" s="65"/>
      <c r="W73" s="65"/>
      <c r="X73" s="65"/>
      <c r="Y73" s="65"/>
      <c r="Z73" s="65">
        <f t="shared" si="42"/>
        <v>30</v>
      </c>
      <c r="AA73" s="65">
        <f t="shared" si="43"/>
        <v>11970</v>
      </c>
      <c r="AB73" s="163" t="s">
        <v>218</v>
      </c>
      <c r="AC73" s="67" t="s">
        <v>219</v>
      </c>
    </row>
    <row r="74" ht="25.5" customHeight="1" spans="1:30">
      <c r="A74" s="67">
        <v>58</v>
      </c>
      <c r="B74" s="63">
        <v>7</v>
      </c>
      <c r="C74" s="70" t="s">
        <v>220</v>
      </c>
      <c r="D74" s="65" t="s">
        <v>171</v>
      </c>
      <c r="E74" s="63">
        <v>12000</v>
      </c>
      <c r="F74" s="63">
        <v>12000</v>
      </c>
      <c r="G74" s="63"/>
      <c r="H74" s="63"/>
      <c r="I74" s="63"/>
      <c r="J74" s="71">
        <v>31</v>
      </c>
      <c r="K74" s="63"/>
      <c r="L74" s="63"/>
      <c r="M74" s="63"/>
      <c r="N74" s="63"/>
      <c r="O74" s="63"/>
      <c r="P74" s="63"/>
      <c r="Q74" s="65">
        <f t="shared" si="35"/>
        <v>12000</v>
      </c>
      <c r="R74" s="65"/>
      <c r="S74" s="65"/>
      <c r="T74" s="65">
        <f t="shared" si="36"/>
        <v>0</v>
      </c>
      <c r="U74" s="65">
        <f t="shared" si="37"/>
        <v>30</v>
      </c>
      <c r="V74" s="65"/>
      <c r="W74" s="65"/>
      <c r="X74" s="65"/>
      <c r="Y74" s="65"/>
      <c r="Z74" s="65">
        <f t="shared" si="38"/>
        <v>30</v>
      </c>
      <c r="AA74" s="65">
        <f t="shared" si="39"/>
        <v>11970</v>
      </c>
      <c r="AB74" s="163" t="s">
        <v>221</v>
      </c>
      <c r="AC74" s="67" t="s">
        <v>222</v>
      </c>
    </row>
    <row r="75" ht="24.75" customHeight="1" spans="1:30">
      <c r="A75" s="67">
        <v>59</v>
      </c>
      <c r="B75" s="63">
        <v>8</v>
      </c>
      <c r="C75" s="70" t="s">
        <v>223</v>
      </c>
      <c r="D75" s="65" t="s">
        <v>171</v>
      </c>
      <c r="E75" s="63">
        <v>12000</v>
      </c>
      <c r="F75" s="63">
        <v>12000</v>
      </c>
      <c r="G75" s="63"/>
      <c r="H75" s="63"/>
      <c r="I75" s="63"/>
      <c r="J75" s="71">
        <v>31</v>
      </c>
      <c r="K75" s="63"/>
      <c r="L75" s="63"/>
      <c r="M75" s="63"/>
      <c r="N75" s="63"/>
      <c r="O75" s="63"/>
      <c r="P75" s="63"/>
      <c r="Q75" s="65">
        <f t="shared" si="35"/>
        <v>12000</v>
      </c>
      <c r="R75" s="65"/>
      <c r="S75" s="65"/>
      <c r="T75" s="65">
        <f t="shared" ref="T75:T76" si="44">IF(Q75&gt;20001,200,IF(Q75&gt;15001,150,IF(Q75&lt;15000,0,)))</f>
        <v>0</v>
      </c>
      <c r="U75" s="65">
        <f t="shared" ref="U75:U76" si="45">IF(Q75,IF(1,30),IF(1,0))</f>
        <v>30</v>
      </c>
      <c r="V75" s="65"/>
      <c r="W75" s="65"/>
      <c r="X75" s="65"/>
      <c r="Y75" s="65"/>
      <c r="Z75" s="65">
        <f t="shared" ref="Z75:Z76" si="46">SUM(R75:Y75)</f>
        <v>30</v>
      </c>
      <c r="AA75" s="65">
        <f t="shared" si="39"/>
        <v>11970</v>
      </c>
      <c r="AB75" s="177" t="s">
        <v>224</v>
      </c>
      <c r="AC75" s="67" t="s">
        <v>225</v>
      </c>
    </row>
    <row r="76" ht="24.75" customHeight="1" spans="1:30">
      <c r="A76" s="67">
        <v>59</v>
      </c>
      <c r="B76" s="63">
        <v>8</v>
      </c>
      <c r="C76" s="70" t="s">
        <v>226</v>
      </c>
      <c r="D76" s="65" t="s">
        <v>171</v>
      </c>
      <c r="E76" s="63">
        <v>12000</v>
      </c>
      <c r="F76" s="63">
        <v>12000</v>
      </c>
      <c r="G76" s="63"/>
      <c r="H76" s="63"/>
      <c r="I76" s="63"/>
      <c r="J76" s="71">
        <v>29</v>
      </c>
      <c r="K76" s="63"/>
      <c r="L76" s="63"/>
      <c r="M76" s="63"/>
      <c r="N76" s="63"/>
      <c r="O76" s="63"/>
      <c r="P76" s="63"/>
      <c r="Q76" s="65">
        <f t="shared" si="35"/>
        <v>11226</v>
      </c>
      <c r="R76" s="65"/>
      <c r="S76" s="65"/>
      <c r="T76" s="65">
        <f t="shared" si="44"/>
        <v>0</v>
      </c>
      <c r="U76" s="65">
        <f t="shared" si="45"/>
        <v>30</v>
      </c>
      <c r="V76" s="65"/>
      <c r="W76" s="65"/>
      <c r="X76" s="65"/>
      <c r="Y76" s="65"/>
      <c r="Z76" s="65">
        <f t="shared" si="46"/>
        <v>30</v>
      </c>
      <c r="AA76" s="65">
        <f t="shared" si="39"/>
        <v>11196</v>
      </c>
      <c r="AB76" s="177" t="s">
        <v>227</v>
      </c>
      <c r="AC76" s="67" t="s">
        <v>109</v>
      </c>
      <c r="AD76" s="52" t="s">
        <v>228</v>
      </c>
    </row>
    <row r="77" ht="14.5" spans="1:30">
      <c r="A77" s="63"/>
      <c r="B77" s="63"/>
      <c r="C77" s="69" t="s">
        <v>229</v>
      </c>
      <c r="D77" s="65"/>
      <c r="E77" s="63"/>
      <c r="F77" s="63"/>
      <c r="G77" s="63"/>
      <c r="H77" s="63"/>
      <c r="I77" s="63"/>
      <c r="J77" s="71"/>
      <c r="K77" s="63"/>
      <c r="L77" s="63"/>
      <c r="M77" s="63"/>
      <c r="N77" s="63"/>
      <c r="O77" s="63"/>
      <c r="P77" s="63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137"/>
      <c r="AC77" s="137"/>
    </row>
    <row r="78" ht="25.5" customHeight="1" spans="1:30">
      <c r="A78" s="63">
        <v>60</v>
      </c>
      <c r="B78" s="63">
        <v>1</v>
      </c>
      <c r="C78" s="70" t="s">
        <v>230</v>
      </c>
      <c r="D78" s="65" t="s">
        <v>48</v>
      </c>
      <c r="E78" s="63">
        <v>13500</v>
      </c>
      <c r="F78" s="63">
        <v>13500</v>
      </c>
      <c r="G78" s="63"/>
      <c r="H78" s="63"/>
      <c r="I78" s="63"/>
      <c r="J78" s="71">
        <v>30.5</v>
      </c>
      <c r="K78" s="63"/>
      <c r="L78" s="63"/>
      <c r="M78" s="63"/>
      <c r="N78" s="63"/>
      <c r="O78" s="63"/>
      <c r="P78" s="63"/>
      <c r="Q78" s="65">
        <f>ROUNDUP(F78/J$5*J78+N78,0)</f>
        <v>13283</v>
      </c>
      <c r="R78" s="65"/>
      <c r="S78" s="65"/>
      <c r="T78" s="65">
        <f>IF(Q78&gt;20001,200,IF(Q78&gt;15001,150,IF(Q78&lt;15000,0,)))</f>
        <v>0</v>
      </c>
      <c r="U78" s="65">
        <f>IF(Q78,IF(1,30),IF(1,0))</f>
        <v>30</v>
      </c>
      <c r="V78" s="65"/>
      <c r="W78" s="65"/>
      <c r="X78" s="65"/>
      <c r="Y78" s="65"/>
      <c r="Z78" s="65">
        <f>SUM(R78:Y78)</f>
        <v>30</v>
      </c>
      <c r="AA78" s="65">
        <f>Q78-Z78</f>
        <v>13253</v>
      </c>
      <c r="AB78" s="163" t="s">
        <v>231</v>
      </c>
      <c r="AC78" s="67" t="s">
        <v>128</v>
      </c>
    </row>
    <row r="79" ht="14.5" spans="1:30">
      <c r="A79" s="63"/>
      <c r="B79" s="63"/>
      <c r="C79" s="69" t="s">
        <v>232</v>
      </c>
      <c r="D79" s="65"/>
      <c r="E79" s="63"/>
      <c r="F79" s="63"/>
      <c r="G79" s="63"/>
      <c r="H79" s="63"/>
      <c r="I79" s="63"/>
      <c r="J79" s="71"/>
      <c r="K79" s="63"/>
      <c r="L79" s="63"/>
      <c r="M79" s="63"/>
      <c r="N79" s="63"/>
      <c r="O79" s="63"/>
      <c r="P79" s="63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137"/>
      <c r="AC79" s="137"/>
    </row>
    <row r="80" ht="25.5" customHeight="1" spans="1:30">
      <c r="A80" s="63">
        <v>61</v>
      </c>
      <c r="B80" s="63">
        <v>1</v>
      </c>
      <c r="C80" s="70" t="s">
        <v>233</v>
      </c>
      <c r="D80" s="65" t="s">
        <v>48</v>
      </c>
      <c r="E80" s="63">
        <v>14500</v>
      </c>
      <c r="F80" s="63">
        <v>14500</v>
      </c>
      <c r="G80" s="63"/>
      <c r="H80" s="63"/>
      <c r="I80" s="63"/>
      <c r="J80" s="71">
        <v>31</v>
      </c>
      <c r="K80" s="63"/>
      <c r="L80" s="63"/>
      <c r="M80" s="63"/>
      <c r="N80" s="63"/>
      <c r="O80" s="63"/>
      <c r="P80" s="63"/>
      <c r="Q80" s="65">
        <f>ROUNDUP(F80/J$5*J80+N80,0)</f>
        <v>14500</v>
      </c>
      <c r="R80" s="65"/>
      <c r="S80" s="65"/>
      <c r="T80" s="65">
        <f>IF(Q80&gt;20001,200,IF(Q80&gt;15001,150,IF(Q80&lt;15000,0,)))</f>
        <v>0</v>
      </c>
      <c r="U80" s="65">
        <f>IF(Q80,IF(1,30),IF(1,0))</f>
        <v>30</v>
      </c>
      <c r="V80" s="65"/>
      <c r="W80" s="65"/>
      <c r="X80" s="65"/>
      <c r="Y80" s="65"/>
      <c r="Z80" s="65">
        <f>SUM(R80:Y80)</f>
        <v>30</v>
      </c>
      <c r="AA80" s="65">
        <f>Q80-Z80</f>
        <v>14470</v>
      </c>
      <c r="AB80" s="174" t="s">
        <v>234</v>
      </c>
      <c r="AC80" s="137" t="s">
        <v>222</v>
      </c>
    </row>
    <row r="81" ht="14.5" spans="1:30">
      <c r="A81" s="63"/>
      <c r="B81" s="63"/>
      <c r="C81" s="69" t="s">
        <v>20</v>
      </c>
      <c r="D81" s="65"/>
      <c r="E81" s="63"/>
      <c r="F81" s="63"/>
      <c r="G81" s="63"/>
      <c r="H81" s="63"/>
      <c r="I81" s="63"/>
      <c r="J81" s="66"/>
      <c r="K81" s="63"/>
      <c r="L81" s="63"/>
      <c r="M81" s="63"/>
      <c r="N81" s="63"/>
      <c r="O81" s="63"/>
      <c r="P81" s="63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6"/>
      <c r="AC81" s="67"/>
    </row>
    <row r="82" ht="25.5" customHeight="1" spans="1:30">
      <c r="A82" s="63">
        <v>62</v>
      </c>
      <c r="B82" s="63">
        <v>1</v>
      </c>
      <c r="C82" s="70" t="s">
        <v>235</v>
      </c>
      <c r="D82" s="65" t="s">
        <v>48</v>
      </c>
      <c r="E82" s="63">
        <v>12000</v>
      </c>
      <c r="F82" s="63">
        <v>12000</v>
      </c>
      <c r="G82" s="63"/>
      <c r="H82" s="63"/>
      <c r="I82" s="63"/>
      <c r="J82" s="71">
        <v>7</v>
      </c>
      <c r="K82" s="63"/>
      <c r="L82" s="63"/>
      <c r="M82" s="63"/>
      <c r="N82" s="63"/>
      <c r="O82" s="63"/>
      <c r="P82" s="63"/>
      <c r="Q82" s="65">
        <f>ROUNDUP(F82/J$5*J82+N82,0)</f>
        <v>2710</v>
      </c>
      <c r="R82" s="65"/>
      <c r="S82" s="65"/>
      <c r="T82" s="65">
        <f>IF(Q82&gt;20001,200,IF(Q82&gt;15001,150,IF(Q82&lt;15000,0,)))</f>
        <v>0</v>
      </c>
      <c r="U82" s="65">
        <f t="shared" ref="U82" si="47">IF(Q82,IF(1,30),IF(1,0))</f>
        <v>30</v>
      </c>
      <c r="V82" s="65"/>
      <c r="W82" s="65"/>
      <c r="X82" s="65"/>
      <c r="Y82" s="65"/>
      <c r="Z82" s="65">
        <f t="shared" ref="Z82" si="48">SUM(R82:Y82)</f>
        <v>30</v>
      </c>
      <c r="AA82" s="65">
        <f t="shared" ref="AA82" si="49">Q82-Z82</f>
        <v>2680</v>
      </c>
      <c r="AB82" s="174" t="s">
        <v>236</v>
      </c>
      <c r="AC82" s="137" t="s">
        <v>237</v>
      </c>
      <c r="AD82" s="52" t="s">
        <v>238</v>
      </c>
    </row>
    <row r="83" ht="14.5" spans="1:30">
      <c r="A83" s="63"/>
      <c r="B83" s="63"/>
      <c r="C83" s="69" t="s">
        <v>239</v>
      </c>
      <c r="D83" s="65"/>
      <c r="E83" s="63"/>
      <c r="F83" s="63"/>
      <c r="G83" s="63"/>
      <c r="H83" s="63"/>
      <c r="I83" s="63"/>
      <c r="J83" s="66"/>
      <c r="K83" s="63"/>
      <c r="L83" s="63"/>
      <c r="M83" s="63"/>
      <c r="N83" s="63"/>
      <c r="O83" s="63"/>
      <c r="P83" s="63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6"/>
      <c r="AC83" s="67"/>
    </row>
    <row r="84" ht="25.5" customHeight="1" spans="1:30">
      <c r="A84" s="63">
        <v>63</v>
      </c>
      <c r="B84" s="63">
        <v>1</v>
      </c>
      <c r="C84" s="70" t="s">
        <v>240</v>
      </c>
      <c r="D84" s="65" t="s">
        <v>111</v>
      </c>
      <c r="E84" s="63">
        <v>12000</v>
      </c>
      <c r="F84" s="63">
        <v>12000</v>
      </c>
      <c r="G84" s="63"/>
      <c r="H84" s="63"/>
      <c r="I84" s="63"/>
      <c r="J84" s="71">
        <v>31</v>
      </c>
      <c r="K84" s="63"/>
      <c r="L84" s="63"/>
      <c r="M84" s="63"/>
      <c r="N84" s="63"/>
      <c r="O84" s="63"/>
      <c r="P84" s="63"/>
      <c r="Q84" s="65">
        <f>ROUNDUP(F84/J$5*J84+N84,0)</f>
        <v>12000</v>
      </c>
      <c r="R84" s="65"/>
      <c r="S84" s="65"/>
      <c r="T84" s="65">
        <f>IF(Q84&gt;20001,200,IF(Q84&gt;15001,150,IF(Q84&lt;15000,0,)))</f>
        <v>0</v>
      </c>
      <c r="U84" s="65">
        <f>IF(Q84,IF(1,30),IF(1,0))</f>
        <v>30</v>
      </c>
      <c r="V84" s="65"/>
      <c r="W84" s="65"/>
      <c r="X84" s="65"/>
      <c r="Y84" s="65"/>
      <c r="Z84" s="65">
        <f>SUM(R84:Y84)</f>
        <v>30</v>
      </c>
      <c r="AA84" s="65">
        <f>Q84-Z84</f>
        <v>11970</v>
      </c>
      <c r="AB84" s="108">
        <v>20508849936</v>
      </c>
      <c r="AC84" s="108" t="s">
        <v>241</v>
      </c>
    </row>
    <row r="85" ht="14.5" spans="1:30">
      <c r="A85" s="63"/>
      <c r="B85" s="63"/>
      <c r="C85" s="69" t="s">
        <v>242</v>
      </c>
      <c r="D85" s="65"/>
      <c r="E85" s="63"/>
      <c r="F85" s="63"/>
      <c r="G85" s="63"/>
      <c r="H85" s="63"/>
      <c r="I85" s="63"/>
      <c r="J85" s="66"/>
      <c r="K85" s="63"/>
      <c r="L85" s="63"/>
      <c r="M85" s="63"/>
      <c r="N85" s="63"/>
      <c r="O85" s="63"/>
      <c r="P85" s="63"/>
      <c r="Q85" s="65"/>
      <c r="R85" s="65"/>
      <c r="S85" s="138"/>
      <c r="T85" s="65"/>
      <c r="U85" s="65"/>
      <c r="V85" s="65"/>
      <c r="W85" s="65"/>
      <c r="X85" s="65"/>
      <c r="Y85" s="65"/>
      <c r="Z85" s="65"/>
      <c r="AA85" s="65"/>
      <c r="AB85" s="66"/>
      <c r="AC85" s="67"/>
    </row>
    <row r="86" s="43" customFormat="1" ht="21.75" customHeight="1" spans="1:30">
      <c r="A86" s="80">
        <v>64</v>
      </c>
      <c r="B86" s="80">
        <v>1</v>
      </c>
      <c r="C86" s="78" t="s">
        <v>243</v>
      </c>
      <c r="D86" s="79" t="s">
        <v>171</v>
      </c>
      <c r="E86" s="80">
        <v>16000</v>
      </c>
      <c r="F86" s="80">
        <v>16000</v>
      </c>
      <c r="G86" s="80"/>
      <c r="H86" s="80"/>
      <c r="I86" s="80"/>
      <c r="J86" s="81">
        <v>31</v>
      </c>
      <c r="K86" s="80"/>
      <c r="L86" s="80"/>
      <c r="M86" s="80"/>
      <c r="N86" s="80"/>
      <c r="O86" s="80"/>
      <c r="P86" s="80"/>
      <c r="Q86" s="79">
        <f t="shared" ref="Q86:Q90" si="50">ROUNDUP(F86/J$5*J86+N86,0)</f>
        <v>16000</v>
      </c>
      <c r="R86" s="79"/>
      <c r="S86" s="79"/>
      <c r="T86" s="79">
        <f t="shared" ref="T86:T88" si="51">IF(Q86&gt;20001,200,IF(Q86&gt;15001,150,IF(Q86&lt;15000,0,)))</f>
        <v>150</v>
      </c>
      <c r="U86" s="79">
        <f t="shared" ref="U86:U88" si="52">IF(Q86,IF(1,30),IF(1,0))</f>
        <v>30</v>
      </c>
      <c r="V86" s="79"/>
      <c r="W86" s="79"/>
      <c r="X86" s="79"/>
      <c r="Y86" s="79"/>
      <c r="Z86" s="79">
        <f t="shared" ref="Z86:Z88" si="53">SUM(R86:Y86)</f>
        <v>180</v>
      </c>
      <c r="AA86" s="79">
        <f t="shared" ref="AA86:AA88" si="54">Q86-Z86</f>
        <v>15820</v>
      </c>
      <c r="AB86" s="178" t="s">
        <v>244</v>
      </c>
      <c r="AC86" s="83" t="s">
        <v>55</v>
      </c>
    </row>
    <row r="87" ht="21.75" customHeight="1" spans="1:30">
      <c r="A87" s="63">
        <v>65</v>
      </c>
      <c r="B87" s="63">
        <v>2</v>
      </c>
      <c r="C87" s="133" t="s">
        <v>245</v>
      </c>
      <c r="D87" s="134" t="s">
        <v>171</v>
      </c>
      <c r="E87" s="63">
        <v>12000</v>
      </c>
      <c r="F87" s="63">
        <v>12000</v>
      </c>
      <c r="G87" s="63"/>
      <c r="H87" s="63"/>
      <c r="I87" s="63"/>
      <c r="J87" s="71">
        <v>31</v>
      </c>
      <c r="K87" s="63"/>
      <c r="L87" s="63"/>
      <c r="M87" s="63"/>
      <c r="N87" s="63"/>
      <c r="O87" s="63"/>
      <c r="P87" s="63"/>
      <c r="Q87" s="65">
        <f t="shared" si="50"/>
        <v>12000</v>
      </c>
      <c r="R87" s="65"/>
      <c r="S87" s="65"/>
      <c r="T87" s="65">
        <f t="shared" si="51"/>
        <v>0</v>
      </c>
      <c r="U87" s="65">
        <f t="shared" si="52"/>
        <v>30</v>
      </c>
      <c r="V87" s="65"/>
      <c r="W87" s="65"/>
      <c r="X87" s="65"/>
      <c r="Y87" s="65"/>
      <c r="Z87" s="65">
        <f t="shared" si="53"/>
        <v>30</v>
      </c>
      <c r="AA87" s="65">
        <f t="shared" si="54"/>
        <v>11970</v>
      </c>
      <c r="AB87" s="179" t="s">
        <v>246</v>
      </c>
      <c r="AC87" s="139" t="s">
        <v>247</v>
      </c>
    </row>
    <row r="88" ht="21.75" customHeight="1" spans="1:30">
      <c r="A88" s="80">
        <v>66</v>
      </c>
      <c r="B88" s="80">
        <v>3</v>
      </c>
      <c r="C88" s="133" t="s">
        <v>248</v>
      </c>
      <c r="D88" s="134" t="s">
        <v>171</v>
      </c>
      <c r="E88" s="119">
        <v>12000</v>
      </c>
      <c r="F88" s="119">
        <v>12000</v>
      </c>
      <c r="G88" s="119"/>
      <c r="H88" s="119"/>
      <c r="I88" s="119"/>
      <c r="J88" s="71">
        <v>30</v>
      </c>
      <c r="K88" s="119"/>
      <c r="L88" s="119"/>
      <c r="M88" s="119"/>
      <c r="N88" s="119"/>
      <c r="O88" s="119"/>
      <c r="P88" s="119"/>
      <c r="Q88" s="134">
        <f t="shared" si="50"/>
        <v>11613</v>
      </c>
      <c r="R88" s="134"/>
      <c r="S88" s="134"/>
      <c r="T88" s="134">
        <f t="shared" si="51"/>
        <v>0</v>
      </c>
      <c r="U88" s="134">
        <f t="shared" si="52"/>
        <v>30</v>
      </c>
      <c r="V88" s="134"/>
      <c r="W88" s="134"/>
      <c r="X88" s="134"/>
      <c r="Y88" s="134"/>
      <c r="Z88" s="134">
        <f t="shared" si="53"/>
        <v>30</v>
      </c>
      <c r="AA88" s="134">
        <f t="shared" si="54"/>
        <v>11583</v>
      </c>
      <c r="AB88" s="179" t="s">
        <v>249</v>
      </c>
      <c r="AC88" s="139" t="s">
        <v>250</v>
      </c>
    </row>
    <row r="89" ht="21.75" customHeight="1" spans="1:30">
      <c r="A89" s="63">
        <v>67</v>
      </c>
      <c r="B89" s="63">
        <v>4</v>
      </c>
      <c r="C89" s="78" t="s">
        <v>251</v>
      </c>
      <c r="D89" s="65" t="s">
        <v>171</v>
      </c>
      <c r="E89" s="80">
        <v>12000</v>
      </c>
      <c r="F89" s="80">
        <v>12000</v>
      </c>
      <c r="G89" s="80"/>
      <c r="H89" s="80"/>
      <c r="I89" s="80"/>
      <c r="J89" s="71">
        <v>30.5</v>
      </c>
      <c r="K89" s="80"/>
      <c r="L89" s="80"/>
      <c r="M89" s="80"/>
      <c r="N89" s="80"/>
      <c r="O89" s="80"/>
      <c r="P89" s="80"/>
      <c r="Q89" s="79">
        <f t="shared" si="50"/>
        <v>11807</v>
      </c>
      <c r="R89" s="79"/>
      <c r="S89" s="65"/>
      <c r="T89" s="79">
        <f t="shared" ref="T89" si="55">IF(Q89&gt;20001,200,IF(Q89&gt;15001,150,IF(Q89&lt;15000,0,)))</f>
        <v>0</v>
      </c>
      <c r="U89" s="79">
        <f t="shared" ref="U89" si="56">IF(Q89,IF(1,30),IF(1,0))</f>
        <v>30</v>
      </c>
      <c r="V89" s="79"/>
      <c r="W89" s="79"/>
      <c r="X89" s="79"/>
      <c r="Y89" s="79">
        <v>1666</v>
      </c>
      <c r="Z89" s="79">
        <f t="shared" ref="Z89" si="57">SUM(R89:Y89)</f>
        <v>1696</v>
      </c>
      <c r="AA89" s="79">
        <f t="shared" ref="AA89" si="58">Q89-Z89</f>
        <v>10111</v>
      </c>
      <c r="AB89" s="175" t="s">
        <v>252</v>
      </c>
      <c r="AC89" s="67" t="s">
        <v>155</v>
      </c>
    </row>
    <row r="90" ht="21.75" customHeight="1" spans="1:30">
      <c r="A90" s="80">
        <v>68</v>
      </c>
      <c r="B90" s="80">
        <v>5</v>
      </c>
      <c r="C90" s="78" t="s">
        <v>253</v>
      </c>
      <c r="D90" s="79" t="s">
        <v>48</v>
      </c>
      <c r="E90" s="80">
        <v>12000</v>
      </c>
      <c r="F90" s="80">
        <v>12000</v>
      </c>
      <c r="G90" s="80"/>
      <c r="H90" s="80"/>
      <c r="I90" s="80"/>
      <c r="J90" s="71">
        <v>31</v>
      </c>
      <c r="K90" s="80"/>
      <c r="L90" s="80"/>
      <c r="M90" s="80"/>
      <c r="N90" s="80"/>
      <c r="O90" s="80"/>
      <c r="P90" s="80"/>
      <c r="Q90" s="79">
        <f t="shared" si="50"/>
        <v>12000</v>
      </c>
      <c r="R90" s="79"/>
      <c r="S90" s="65"/>
      <c r="T90" s="79">
        <f t="shared" ref="T90" si="59">IF(Q90&gt;20001,200,IF(Q90&gt;15001,150,IF(Q90&lt;15000,0,)))</f>
        <v>0</v>
      </c>
      <c r="U90" s="79">
        <f t="shared" ref="U90" si="60">IF(Q90,IF(1,30),IF(1,0))</f>
        <v>30</v>
      </c>
      <c r="V90" s="79"/>
      <c r="W90" s="79"/>
      <c r="X90" s="79"/>
      <c r="Y90" s="79"/>
      <c r="Z90" s="79">
        <f t="shared" ref="Z90" si="61">SUM(R90:Y90)</f>
        <v>30</v>
      </c>
      <c r="AA90" s="79">
        <f t="shared" ref="AA90" si="62">Q90-Z90</f>
        <v>11970</v>
      </c>
      <c r="AB90" s="175" t="s">
        <v>254</v>
      </c>
      <c r="AC90" s="67" t="s">
        <v>255</v>
      </c>
    </row>
    <row r="91" ht="21.75" customHeight="1" spans="1:30">
      <c r="A91" s="63">
        <v>69</v>
      </c>
      <c r="B91" s="63">
        <v>6</v>
      </c>
      <c r="C91" s="78" t="s">
        <v>256</v>
      </c>
      <c r="D91" s="79" t="s">
        <v>257</v>
      </c>
      <c r="E91" s="80">
        <v>10000</v>
      </c>
      <c r="F91" s="80">
        <v>10000</v>
      </c>
      <c r="G91" s="80"/>
      <c r="H91" s="80"/>
      <c r="I91" s="80"/>
      <c r="J91" s="71">
        <v>31</v>
      </c>
      <c r="K91" s="80"/>
      <c r="L91" s="80"/>
      <c r="M91" s="80"/>
      <c r="N91" s="80"/>
      <c r="O91" s="80"/>
      <c r="P91" s="80"/>
      <c r="Q91" s="79">
        <f t="shared" ref="Q91" si="63">ROUNDUP(F91/J$5*J91+N91,0)</f>
        <v>10000</v>
      </c>
      <c r="R91" s="79"/>
      <c r="S91" s="65"/>
      <c r="T91" s="79">
        <f t="shared" ref="T91" si="64">IF(Q91&gt;20001,200,IF(Q91&gt;15001,150,IF(Q91&lt;15000,0,)))</f>
        <v>0</v>
      </c>
      <c r="U91" s="79">
        <f t="shared" ref="U91" si="65">IF(Q91,IF(1,30),IF(1,0))</f>
        <v>30</v>
      </c>
      <c r="V91" s="79"/>
      <c r="W91" s="79"/>
      <c r="X91" s="79"/>
      <c r="Y91" s="79"/>
      <c r="Z91" s="79">
        <f t="shared" ref="Z91" si="66">SUM(R91:Y91)</f>
        <v>30</v>
      </c>
      <c r="AA91" s="79">
        <f t="shared" ref="AA91" si="67">Q91-Z91</f>
        <v>9970</v>
      </c>
      <c r="AB91" s="175" t="s">
        <v>258</v>
      </c>
      <c r="AC91" s="67" t="s">
        <v>259</v>
      </c>
    </row>
    <row r="92" ht="14.5" spans="1:30">
      <c r="A92" s="63"/>
      <c r="B92" s="63"/>
      <c r="C92" s="69" t="s">
        <v>260</v>
      </c>
      <c r="D92" s="65"/>
      <c r="E92" s="63"/>
      <c r="F92" s="63"/>
      <c r="G92" s="63"/>
      <c r="H92" s="63"/>
      <c r="I92" s="63"/>
      <c r="J92" s="71"/>
      <c r="K92" s="63"/>
      <c r="L92" s="63"/>
      <c r="M92" s="63"/>
      <c r="N92" s="63"/>
      <c r="O92" s="63"/>
      <c r="P92" s="63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137"/>
      <c r="AC92" s="137"/>
    </row>
    <row r="93" ht="25.5" customHeight="1" spans="1:30">
      <c r="A93" s="63">
        <v>70</v>
      </c>
      <c r="B93" s="63">
        <v>1</v>
      </c>
      <c r="C93" s="70" t="s">
        <v>261</v>
      </c>
      <c r="D93" s="65" t="s">
        <v>48</v>
      </c>
      <c r="E93" s="63">
        <v>14500</v>
      </c>
      <c r="F93" s="63">
        <v>14500</v>
      </c>
      <c r="G93" s="63"/>
      <c r="H93" s="63"/>
      <c r="I93" s="63"/>
      <c r="J93" s="71">
        <v>19</v>
      </c>
      <c r="K93" s="63"/>
      <c r="L93" s="63"/>
      <c r="M93" s="63"/>
      <c r="N93" s="63"/>
      <c r="O93" s="63"/>
      <c r="P93" s="63"/>
      <c r="Q93" s="65">
        <f t="shared" ref="Q93:Q99" si="68">ROUNDUP(F93/J$5*J93+N93,0)</f>
        <v>8888</v>
      </c>
      <c r="R93" s="65"/>
      <c r="S93" s="65"/>
      <c r="T93" s="65">
        <f>IF(Q93&gt;20001,200,IF(Q93&gt;15001,150,IF(Q93&lt;15000,0,)))</f>
        <v>0</v>
      </c>
      <c r="U93" s="65">
        <f>IF(Q93,IF(1,30),IF(1,0))</f>
        <v>30</v>
      </c>
      <c r="V93" s="65"/>
      <c r="W93" s="65"/>
      <c r="X93" s="65"/>
      <c r="Y93" s="65"/>
      <c r="Z93" s="65">
        <f>SUM(R93:Y93)</f>
        <v>30</v>
      </c>
      <c r="AA93" s="65">
        <f>Q93-Z93</f>
        <v>8858</v>
      </c>
      <c r="AB93" s="163" t="s">
        <v>262</v>
      </c>
      <c r="AC93" s="67" t="s">
        <v>263</v>
      </c>
    </row>
    <row r="94" ht="25.5" customHeight="1" spans="1:30">
      <c r="A94" s="63">
        <v>71</v>
      </c>
      <c r="B94" s="63">
        <v>2</v>
      </c>
      <c r="C94" s="70" t="s">
        <v>264</v>
      </c>
      <c r="D94" s="65" t="s">
        <v>265</v>
      </c>
      <c r="E94" s="63">
        <v>25000</v>
      </c>
      <c r="F94" s="63">
        <v>25000</v>
      </c>
      <c r="G94" s="63"/>
      <c r="H94" s="63"/>
      <c r="I94" s="63"/>
      <c r="J94" s="71">
        <v>31</v>
      </c>
      <c r="K94" s="63"/>
      <c r="L94" s="63"/>
      <c r="M94" s="63"/>
      <c r="N94" s="63"/>
      <c r="O94" s="63"/>
      <c r="P94" s="63"/>
      <c r="Q94" s="65">
        <f t="shared" si="68"/>
        <v>25000</v>
      </c>
      <c r="R94" s="65"/>
      <c r="S94" s="65"/>
      <c r="T94" s="65">
        <f>IF(Q94&gt;20001,200,IF(Q94&gt;15001,150,IF(Q94&lt;15000,0,)))</f>
        <v>200</v>
      </c>
      <c r="U94" s="65">
        <f>IF(Q94,IF(1,30),IF(1,0))</f>
        <v>30</v>
      </c>
      <c r="V94" s="65"/>
      <c r="W94" s="65"/>
      <c r="X94" s="65"/>
      <c r="Y94" s="65"/>
      <c r="Z94" s="65">
        <f>SUM(R94:Y94)</f>
        <v>230</v>
      </c>
      <c r="AA94" s="65">
        <f>Q94-Z94</f>
        <v>24770</v>
      </c>
      <c r="AB94" s="163" t="s">
        <v>266</v>
      </c>
      <c r="AC94" s="67" t="s">
        <v>36</v>
      </c>
    </row>
    <row r="95" ht="14.5" spans="1:30">
      <c r="A95" s="63"/>
      <c r="B95" s="63"/>
      <c r="C95" s="69" t="s">
        <v>267</v>
      </c>
      <c r="D95" s="65"/>
      <c r="E95" s="63"/>
      <c r="F95" s="63"/>
      <c r="G95" s="63"/>
      <c r="H95" s="63"/>
      <c r="I95" s="63"/>
      <c r="J95" s="66"/>
      <c r="K95" s="63"/>
      <c r="L95" s="63"/>
      <c r="M95" s="63"/>
      <c r="N95" s="63"/>
      <c r="O95" s="63"/>
      <c r="P95" s="63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6"/>
      <c r="AC95" s="67"/>
    </row>
    <row r="96" ht="23.25" customHeight="1" spans="1:30">
      <c r="A96" s="63">
        <v>72</v>
      </c>
      <c r="B96" s="63">
        <v>1</v>
      </c>
      <c r="C96" s="78" t="s">
        <v>268</v>
      </c>
      <c r="D96" s="79" t="s">
        <v>267</v>
      </c>
      <c r="E96" s="80">
        <v>17000</v>
      </c>
      <c r="F96" s="80">
        <v>17000</v>
      </c>
      <c r="G96" s="80"/>
      <c r="H96" s="80"/>
      <c r="I96" s="80"/>
      <c r="J96" s="81">
        <v>31</v>
      </c>
      <c r="K96" s="80"/>
      <c r="L96" s="80"/>
      <c r="M96" s="80"/>
      <c r="N96" s="80"/>
      <c r="O96" s="80"/>
      <c r="P96" s="80"/>
      <c r="Q96" s="79">
        <f t="shared" si="68"/>
        <v>17000</v>
      </c>
      <c r="R96" s="79"/>
      <c r="S96" s="79"/>
      <c r="T96" s="79">
        <f t="shared" ref="T96:T99" si="69">IF(Q96&gt;20001,200,IF(Q96&gt;15001,150,IF(Q96&lt;15000,0,)))</f>
        <v>150</v>
      </c>
      <c r="U96" s="79">
        <f t="shared" ref="U96:U99" si="70">IF(Q96,IF(1,30),IF(1,0))</f>
        <v>30</v>
      </c>
      <c r="V96" s="79"/>
      <c r="W96" s="79"/>
      <c r="X96" s="79"/>
      <c r="Y96" s="79"/>
      <c r="Z96" s="79">
        <f t="shared" ref="Z96:Z99" si="71">SUM(R96:Y96)</f>
        <v>180</v>
      </c>
      <c r="AA96" s="79">
        <f t="shared" ref="AA96:AA99" si="72">Q96-Z96</f>
        <v>16820</v>
      </c>
      <c r="AB96" s="165" t="s">
        <v>269</v>
      </c>
      <c r="AC96" s="83" t="s">
        <v>270</v>
      </c>
    </row>
    <row r="97" ht="23.25" customHeight="1" spans="1:35">
      <c r="A97" s="63">
        <v>73</v>
      </c>
      <c r="B97" s="63">
        <v>2</v>
      </c>
      <c r="C97" s="78" t="s">
        <v>271</v>
      </c>
      <c r="D97" s="79" t="s">
        <v>267</v>
      </c>
      <c r="E97" s="80">
        <v>17000</v>
      </c>
      <c r="F97" s="80">
        <v>17000</v>
      </c>
      <c r="G97" s="80"/>
      <c r="H97" s="80"/>
      <c r="I97" s="80"/>
      <c r="J97" s="81">
        <v>31</v>
      </c>
      <c r="K97" s="80"/>
      <c r="L97" s="80"/>
      <c r="M97" s="80"/>
      <c r="N97" s="80"/>
      <c r="O97" s="80"/>
      <c r="P97" s="80"/>
      <c r="Q97" s="79">
        <f t="shared" si="68"/>
        <v>17000</v>
      </c>
      <c r="R97" s="79"/>
      <c r="S97" s="79"/>
      <c r="T97" s="79">
        <f t="shared" si="69"/>
        <v>150</v>
      </c>
      <c r="U97" s="79">
        <f t="shared" si="70"/>
        <v>30</v>
      </c>
      <c r="V97" s="79"/>
      <c r="W97" s="79"/>
      <c r="X97" s="79"/>
      <c r="Y97" s="79"/>
      <c r="Z97" s="79">
        <f t="shared" si="71"/>
        <v>180</v>
      </c>
      <c r="AA97" s="79">
        <f t="shared" si="72"/>
        <v>16820</v>
      </c>
      <c r="AB97" s="165" t="s">
        <v>272</v>
      </c>
      <c r="AC97" s="83" t="s">
        <v>36</v>
      </c>
    </row>
    <row r="98" ht="23.25" customHeight="1" spans="1:35">
      <c r="A98" s="63">
        <v>72</v>
      </c>
      <c r="B98" s="63">
        <v>3</v>
      </c>
      <c r="C98" s="78" t="s">
        <v>273</v>
      </c>
      <c r="D98" s="79" t="s">
        <v>267</v>
      </c>
      <c r="E98" s="80">
        <v>13000</v>
      </c>
      <c r="F98" s="80">
        <v>13000</v>
      </c>
      <c r="G98" s="80"/>
      <c r="H98" s="80"/>
      <c r="I98" s="80"/>
      <c r="J98" s="81">
        <v>30</v>
      </c>
      <c r="K98" s="80"/>
      <c r="L98" s="80"/>
      <c r="M98" s="80"/>
      <c r="N98" s="80"/>
      <c r="O98" s="80"/>
      <c r="P98" s="80"/>
      <c r="Q98" s="79">
        <f t="shared" si="68"/>
        <v>12581</v>
      </c>
      <c r="R98" s="79"/>
      <c r="S98" s="79"/>
      <c r="T98" s="79">
        <f t="shared" si="69"/>
        <v>0</v>
      </c>
      <c r="U98" s="79">
        <f t="shared" si="70"/>
        <v>30</v>
      </c>
      <c r="V98" s="79"/>
      <c r="W98" s="79"/>
      <c r="X98" s="79"/>
      <c r="Y98" s="79"/>
      <c r="Z98" s="79">
        <f t="shared" si="71"/>
        <v>30</v>
      </c>
      <c r="AA98" s="79">
        <f t="shared" si="72"/>
        <v>12551</v>
      </c>
      <c r="AB98" s="165" t="s">
        <v>274</v>
      </c>
      <c r="AC98" s="83" t="s">
        <v>63</v>
      </c>
    </row>
    <row r="99" ht="23.25" customHeight="1" spans="1:35">
      <c r="A99" s="63">
        <v>73</v>
      </c>
      <c r="B99" s="63">
        <v>4</v>
      </c>
      <c r="C99" s="78" t="s">
        <v>275</v>
      </c>
      <c r="D99" s="79" t="s">
        <v>267</v>
      </c>
      <c r="E99" s="80">
        <v>16000</v>
      </c>
      <c r="F99" s="80">
        <v>16000</v>
      </c>
      <c r="G99" s="80"/>
      <c r="H99" s="80"/>
      <c r="I99" s="80"/>
      <c r="J99" s="81">
        <v>31</v>
      </c>
      <c r="K99" s="80"/>
      <c r="L99" s="80"/>
      <c r="M99" s="80"/>
      <c r="N99" s="80"/>
      <c r="O99" s="80"/>
      <c r="P99" s="80"/>
      <c r="Q99" s="79">
        <f t="shared" si="68"/>
        <v>16000</v>
      </c>
      <c r="R99" s="79"/>
      <c r="S99" s="79"/>
      <c r="T99" s="79">
        <f t="shared" si="69"/>
        <v>150</v>
      </c>
      <c r="U99" s="79">
        <f t="shared" si="70"/>
        <v>30</v>
      </c>
      <c r="V99" s="79"/>
      <c r="W99" s="79"/>
      <c r="X99" s="79"/>
      <c r="Y99" s="79"/>
      <c r="Z99" s="79">
        <f t="shared" si="71"/>
        <v>180</v>
      </c>
      <c r="AA99" s="79">
        <f t="shared" si="72"/>
        <v>15820</v>
      </c>
      <c r="AB99" s="165" t="s">
        <v>276</v>
      </c>
      <c r="AC99" s="83" t="s">
        <v>106</v>
      </c>
    </row>
    <row r="100" ht="14.5" spans="1:35">
      <c r="A100" s="67"/>
      <c r="B100" s="63"/>
      <c r="C100" s="69" t="s">
        <v>277</v>
      </c>
      <c r="D100" s="65"/>
      <c r="E100" s="63"/>
      <c r="F100" s="63"/>
      <c r="G100" s="63"/>
      <c r="H100" s="63"/>
      <c r="I100" s="63"/>
      <c r="J100" s="71"/>
      <c r="K100" s="63"/>
      <c r="L100" s="63"/>
      <c r="M100" s="63"/>
      <c r="N100" s="63"/>
      <c r="O100" s="63"/>
      <c r="P100" s="63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6"/>
      <c r="AC100" s="67"/>
    </row>
    <row r="101" ht="25.5" customHeight="1" spans="1:35">
      <c r="A101" s="67">
        <v>74</v>
      </c>
      <c r="B101" s="63">
        <v>1</v>
      </c>
      <c r="C101" s="180" t="s">
        <v>278</v>
      </c>
      <c r="D101" s="181" t="s">
        <v>279</v>
      </c>
      <c r="E101" s="119">
        <v>12500</v>
      </c>
      <c r="F101" s="119">
        <v>12500</v>
      </c>
      <c r="G101" s="140"/>
      <c r="H101" s="140"/>
      <c r="I101" s="140"/>
      <c r="J101" s="71">
        <v>30.5</v>
      </c>
      <c r="K101" s="140"/>
      <c r="L101" s="140"/>
      <c r="M101" s="140"/>
      <c r="N101" s="140"/>
      <c r="O101" s="140"/>
      <c r="P101" s="140"/>
      <c r="Q101" s="65">
        <f t="shared" ref="Q101:Q108" si="73">ROUNDUP(F101/J$5*J101+N101,0)</f>
        <v>12299</v>
      </c>
      <c r="R101" s="65"/>
      <c r="S101" s="140"/>
      <c r="T101" s="140">
        <f t="shared" ref="T101:T108" si="74">IF(Q101&gt;20001,200,IF(Q101&gt;15001,150,IF(Q101&lt;15000,0,)))</f>
        <v>0</v>
      </c>
      <c r="U101" s="119">
        <f t="shared" ref="U101:U108" si="75">IF(Q101,IF(1,30),IF(1,0))</f>
        <v>30</v>
      </c>
      <c r="V101" s="140"/>
      <c r="W101" s="140"/>
      <c r="X101" s="140"/>
      <c r="Y101" s="140"/>
      <c r="Z101" s="119">
        <f t="shared" ref="Z101" si="76">SUM(R101:Y101)</f>
        <v>30</v>
      </c>
      <c r="AA101" s="119">
        <f t="shared" ref="AA101:AA108" si="77">Q101-Z101</f>
        <v>12269</v>
      </c>
      <c r="AB101" s="181" t="s">
        <v>280</v>
      </c>
      <c r="AC101" s="181" t="s">
        <v>281</v>
      </c>
    </row>
    <row r="102" s="48" customFormat="1" ht="27.6" customHeight="1" spans="1:35">
      <c r="A102" s="67">
        <v>75</v>
      </c>
      <c r="B102" s="63">
        <v>2</v>
      </c>
      <c r="C102" s="170" t="s">
        <v>282</v>
      </c>
      <c r="D102" s="180" t="s">
        <v>283</v>
      </c>
      <c r="E102" s="123">
        <v>14000</v>
      </c>
      <c r="F102" s="123">
        <v>14000</v>
      </c>
      <c r="G102" s="124"/>
      <c r="H102" s="124"/>
      <c r="I102" s="124"/>
      <c r="J102" s="124">
        <v>31</v>
      </c>
      <c r="K102" s="124"/>
      <c r="L102" s="124"/>
      <c r="M102" s="124"/>
      <c r="N102" s="124"/>
      <c r="O102" s="124"/>
      <c r="P102" s="124"/>
      <c r="Q102" s="123">
        <f t="shared" si="73"/>
        <v>14000</v>
      </c>
      <c r="R102" s="123"/>
      <c r="S102" s="123"/>
      <c r="T102" s="123">
        <f t="shared" si="74"/>
        <v>0</v>
      </c>
      <c r="U102" s="124">
        <f t="shared" si="75"/>
        <v>30</v>
      </c>
      <c r="V102" s="124"/>
      <c r="W102" s="124"/>
      <c r="X102" s="124"/>
      <c r="Y102" s="124"/>
      <c r="Z102" s="123">
        <f>SUM(R102:V102)</f>
        <v>30</v>
      </c>
      <c r="AA102" s="123">
        <f t="shared" si="77"/>
        <v>13970</v>
      </c>
      <c r="AB102" s="163" t="s">
        <v>284</v>
      </c>
      <c r="AC102" s="163" t="s">
        <v>36</v>
      </c>
    </row>
    <row r="103" s="48" customFormat="1" ht="27.6" customHeight="1" spans="1:35">
      <c r="A103" s="67">
        <v>76</v>
      </c>
      <c r="B103" s="63">
        <v>3</v>
      </c>
      <c r="C103" s="170" t="s">
        <v>285</v>
      </c>
      <c r="D103" s="180" t="s">
        <v>279</v>
      </c>
      <c r="E103" s="123">
        <v>23000</v>
      </c>
      <c r="F103" s="123">
        <v>23000</v>
      </c>
      <c r="G103" s="124"/>
      <c r="H103" s="124"/>
      <c r="I103" s="124"/>
      <c r="J103" s="124">
        <v>31</v>
      </c>
      <c r="K103" s="124"/>
      <c r="L103" s="124"/>
      <c r="M103" s="124"/>
      <c r="N103" s="124"/>
      <c r="O103" s="124"/>
      <c r="P103" s="124"/>
      <c r="Q103" s="123">
        <f t="shared" si="73"/>
        <v>23000</v>
      </c>
      <c r="R103" s="123"/>
      <c r="S103" s="123"/>
      <c r="T103" s="123">
        <f t="shared" si="74"/>
        <v>200</v>
      </c>
      <c r="U103" s="124">
        <f t="shared" si="75"/>
        <v>30</v>
      </c>
      <c r="V103" s="124"/>
      <c r="W103" s="124"/>
      <c r="X103" s="124"/>
      <c r="Y103" s="124"/>
      <c r="Z103" s="123">
        <f>SUM(R103:V103)</f>
        <v>230</v>
      </c>
      <c r="AA103" s="123">
        <f t="shared" si="77"/>
        <v>22770</v>
      </c>
      <c r="AB103" s="163" t="s">
        <v>286</v>
      </c>
      <c r="AC103" s="163" t="s">
        <v>287</v>
      </c>
    </row>
    <row r="104" s="48" customFormat="1" ht="27.6" customHeight="1" spans="1:35">
      <c r="A104" s="67">
        <v>77</v>
      </c>
      <c r="B104" s="63">
        <v>4</v>
      </c>
      <c r="C104" s="170" t="s">
        <v>288</v>
      </c>
      <c r="D104" s="180" t="s">
        <v>279</v>
      </c>
      <c r="E104" s="123">
        <v>19000</v>
      </c>
      <c r="F104" s="123">
        <v>19000</v>
      </c>
      <c r="G104" s="124"/>
      <c r="H104" s="124"/>
      <c r="I104" s="124"/>
      <c r="J104" s="124">
        <v>31</v>
      </c>
      <c r="K104" s="124"/>
      <c r="L104" s="124"/>
      <c r="M104" s="124"/>
      <c r="N104" s="124"/>
      <c r="O104" s="124"/>
      <c r="P104" s="124"/>
      <c r="Q104" s="123">
        <f t="shared" si="73"/>
        <v>19000</v>
      </c>
      <c r="R104" s="123"/>
      <c r="S104" s="123"/>
      <c r="T104" s="123">
        <f t="shared" si="74"/>
        <v>150</v>
      </c>
      <c r="U104" s="124">
        <f t="shared" si="75"/>
        <v>30</v>
      </c>
      <c r="V104" s="124"/>
      <c r="W104" s="124"/>
      <c r="X104" s="124"/>
      <c r="Y104" s="124"/>
      <c r="Z104" s="123">
        <f>SUM(R104:V104)</f>
        <v>180</v>
      </c>
      <c r="AA104" s="123">
        <f t="shared" si="77"/>
        <v>18820</v>
      </c>
      <c r="AB104" s="163" t="s">
        <v>289</v>
      </c>
      <c r="AC104" s="163" t="s">
        <v>290</v>
      </c>
    </row>
    <row r="105" s="48" customFormat="1" ht="27.6" customHeight="1" spans="1:35">
      <c r="A105" s="67">
        <v>79</v>
      </c>
      <c r="B105" s="63">
        <v>6</v>
      </c>
      <c r="C105" s="170" t="s">
        <v>291</v>
      </c>
      <c r="D105" s="180" t="s">
        <v>267</v>
      </c>
      <c r="E105" s="123">
        <v>16000</v>
      </c>
      <c r="F105" s="123">
        <v>16000</v>
      </c>
      <c r="G105" s="124"/>
      <c r="H105" s="124"/>
      <c r="I105" s="124"/>
      <c r="J105" s="124">
        <v>31</v>
      </c>
      <c r="K105" s="124"/>
      <c r="L105" s="124"/>
      <c r="M105" s="124"/>
      <c r="N105" s="124"/>
      <c r="O105" s="124"/>
      <c r="P105" s="124"/>
      <c r="Q105" s="123">
        <f t="shared" si="73"/>
        <v>16000</v>
      </c>
      <c r="R105" s="123"/>
      <c r="S105" s="123"/>
      <c r="T105" s="123">
        <f t="shared" si="74"/>
        <v>150</v>
      </c>
      <c r="U105" s="124">
        <f t="shared" si="75"/>
        <v>30</v>
      </c>
      <c r="V105" s="124"/>
      <c r="W105" s="124"/>
      <c r="X105" s="124"/>
      <c r="Y105" s="124"/>
      <c r="Z105" s="123">
        <f>SUM(R105:V105)</f>
        <v>180</v>
      </c>
      <c r="AA105" s="123">
        <f t="shared" si="77"/>
        <v>15820</v>
      </c>
      <c r="AB105" s="163" t="s">
        <v>292</v>
      </c>
      <c r="AC105" s="163" t="s">
        <v>293</v>
      </c>
    </row>
    <row r="106" ht="35.25" customHeight="1" spans="1:35">
      <c r="A106" s="67">
        <v>80</v>
      </c>
      <c r="B106" s="63">
        <v>7</v>
      </c>
      <c r="C106" s="182" t="s">
        <v>294</v>
      </c>
      <c r="D106" s="183" t="s">
        <v>295</v>
      </c>
      <c r="E106" s="65">
        <v>20000</v>
      </c>
      <c r="F106" s="65">
        <v>20000</v>
      </c>
      <c r="G106" s="63"/>
      <c r="H106" s="65"/>
      <c r="I106" s="65"/>
      <c r="J106" s="71">
        <v>31</v>
      </c>
      <c r="K106" s="63"/>
      <c r="L106" s="63"/>
      <c r="M106" s="63"/>
      <c r="N106" s="63"/>
      <c r="O106" s="63"/>
      <c r="P106" s="63"/>
      <c r="Q106" s="65">
        <f t="shared" si="73"/>
        <v>20000</v>
      </c>
      <c r="R106" s="65"/>
      <c r="S106" s="65"/>
      <c r="T106" s="65">
        <f t="shared" si="74"/>
        <v>150</v>
      </c>
      <c r="U106" s="65">
        <f t="shared" si="75"/>
        <v>30</v>
      </c>
      <c r="V106" s="65">
        <v>0</v>
      </c>
      <c r="W106" s="65"/>
      <c r="X106" s="65"/>
      <c r="Y106" s="65"/>
      <c r="Z106" s="65">
        <f t="shared" ref="Z106:Z108" si="78">SUM(R106:Y106)</f>
        <v>180</v>
      </c>
      <c r="AA106" s="65">
        <f t="shared" si="77"/>
        <v>19820</v>
      </c>
      <c r="AB106" s="163" t="s">
        <v>296</v>
      </c>
      <c r="AC106" s="67" t="s">
        <v>36</v>
      </c>
    </row>
    <row r="107" ht="35.25" customHeight="1" spans="1:35">
      <c r="A107" s="67">
        <v>81</v>
      </c>
      <c r="B107" s="63">
        <v>8</v>
      </c>
      <c r="C107" s="141" t="s">
        <v>297</v>
      </c>
      <c r="D107" s="181" t="s">
        <v>279</v>
      </c>
      <c r="E107" s="65">
        <v>10000</v>
      </c>
      <c r="F107" s="65">
        <v>10000</v>
      </c>
      <c r="G107" s="63"/>
      <c r="H107" s="65"/>
      <c r="I107" s="65"/>
      <c r="J107" s="71">
        <v>29</v>
      </c>
      <c r="K107" s="63"/>
      <c r="L107" s="63"/>
      <c r="M107" s="63"/>
      <c r="N107" s="63"/>
      <c r="O107" s="63"/>
      <c r="P107" s="63"/>
      <c r="Q107" s="65">
        <f t="shared" si="73"/>
        <v>9355</v>
      </c>
      <c r="R107" s="65"/>
      <c r="S107" s="65"/>
      <c r="T107" s="65">
        <f t="shared" si="74"/>
        <v>0</v>
      </c>
      <c r="U107" s="65">
        <f t="shared" si="75"/>
        <v>30</v>
      </c>
      <c r="V107" s="65"/>
      <c r="W107" s="65"/>
      <c r="X107" s="65"/>
      <c r="Y107" s="65"/>
      <c r="Z107" s="65">
        <f t="shared" si="78"/>
        <v>30</v>
      </c>
      <c r="AA107" s="65">
        <f t="shared" si="77"/>
        <v>9325</v>
      </c>
      <c r="AB107" s="163" t="s">
        <v>298</v>
      </c>
      <c r="AC107" s="67" t="s">
        <v>299</v>
      </c>
    </row>
    <row r="108" ht="25.5" customHeight="1" spans="1:35">
      <c r="A108" s="63">
        <v>62</v>
      </c>
      <c r="B108" s="63">
        <v>1</v>
      </c>
      <c r="C108" s="70" t="s">
        <v>300</v>
      </c>
      <c r="D108" s="65" t="s">
        <v>48</v>
      </c>
      <c r="E108" s="63">
        <v>11500</v>
      </c>
      <c r="F108" s="63">
        <v>11500</v>
      </c>
      <c r="G108" s="63"/>
      <c r="H108" s="63"/>
      <c r="I108" s="63"/>
      <c r="J108" s="71">
        <v>31</v>
      </c>
      <c r="K108" s="63"/>
      <c r="L108" s="63"/>
      <c r="M108" s="63"/>
      <c r="N108" s="63"/>
      <c r="O108" s="63"/>
      <c r="P108" s="63"/>
      <c r="Q108" s="65">
        <f t="shared" si="73"/>
        <v>11500</v>
      </c>
      <c r="R108" s="65"/>
      <c r="S108" s="65"/>
      <c r="T108" s="65">
        <f t="shared" si="74"/>
        <v>0</v>
      </c>
      <c r="U108" s="65">
        <f t="shared" si="75"/>
        <v>30</v>
      </c>
      <c r="V108" s="65"/>
      <c r="W108" s="65"/>
      <c r="X108" s="65"/>
      <c r="Y108" s="65"/>
      <c r="Z108" s="65">
        <f t="shared" si="78"/>
        <v>30</v>
      </c>
      <c r="AA108" s="65">
        <f t="shared" si="77"/>
        <v>11470</v>
      </c>
      <c r="AB108" s="163" t="s">
        <v>301</v>
      </c>
      <c r="AC108" s="67" t="s">
        <v>36</v>
      </c>
    </row>
    <row r="109" ht="30" customHeight="1" spans="1:35">
      <c r="A109" s="68"/>
      <c r="B109" s="68"/>
      <c r="C109" s="64" t="s">
        <v>302</v>
      </c>
      <c r="D109" s="138"/>
      <c r="E109" s="68">
        <f t="shared" ref="E109:AA109" si="79">SUM(E6:E108)</f>
        <v>1815500</v>
      </c>
      <c r="F109" s="68">
        <f t="shared" si="79"/>
        <v>1815500</v>
      </c>
      <c r="G109" s="68">
        <f t="shared" si="79"/>
        <v>0</v>
      </c>
      <c r="H109" s="68">
        <f t="shared" si="79"/>
        <v>0</v>
      </c>
      <c r="I109" s="68">
        <f t="shared" si="79"/>
        <v>0</v>
      </c>
      <c r="J109" s="68"/>
      <c r="K109" s="68">
        <f t="shared" si="79"/>
        <v>0</v>
      </c>
      <c r="L109" s="68">
        <f t="shared" si="79"/>
        <v>0</v>
      </c>
      <c r="M109" s="68">
        <f t="shared" si="79"/>
        <v>0</v>
      </c>
      <c r="N109" s="68">
        <f t="shared" si="79"/>
        <v>1934</v>
      </c>
      <c r="O109" s="68">
        <f t="shared" si="79"/>
        <v>0</v>
      </c>
      <c r="P109" s="68">
        <f t="shared" si="79"/>
        <v>0</v>
      </c>
      <c r="Q109" s="68">
        <f t="shared" si="79"/>
        <v>1664554</v>
      </c>
      <c r="R109" s="68">
        <f t="shared" si="79"/>
        <v>4920</v>
      </c>
      <c r="S109" s="68">
        <f t="shared" si="79"/>
        <v>0</v>
      </c>
      <c r="T109" s="68">
        <f t="shared" si="79"/>
        <v>6600</v>
      </c>
      <c r="U109" s="68">
        <f t="shared" si="79"/>
        <v>2475</v>
      </c>
      <c r="V109" s="68">
        <f t="shared" si="79"/>
        <v>0</v>
      </c>
      <c r="W109" s="68">
        <f t="shared" si="79"/>
        <v>0</v>
      </c>
      <c r="X109" s="68">
        <f t="shared" si="79"/>
        <v>0</v>
      </c>
      <c r="Y109" s="68">
        <f t="shared" si="79"/>
        <v>11590</v>
      </c>
      <c r="Z109" s="68">
        <f t="shared" si="79"/>
        <v>25585</v>
      </c>
      <c r="AA109" s="68">
        <f t="shared" si="79"/>
        <v>1638969</v>
      </c>
      <c r="AB109" s="132"/>
      <c r="AC109" s="68"/>
    </row>
    <row r="110" ht="30" customHeight="1" spans="1:35">
      <c r="A110" s="143"/>
      <c r="B110" s="143"/>
      <c r="C110" s="144"/>
      <c r="D110" s="145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6"/>
      <c r="AC110" s="143"/>
    </row>
    <row r="111" ht="62.25" customHeight="1" spans="1:35">
      <c r="A111" s="147" t="s">
        <v>303</v>
      </c>
      <c r="B111" s="147"/>
      <c r="C111" s="147"/>
      <c r="D111" s="147" t="s">
        <v>304</v>
      </c>
      <c r="E111" s="148"/>
      <c r="F111" s="149" t="s">
        <v>304</v>
      </c>
      <c r="G111" s="149"/>
      <c r="H111" s="149"/>
      <c r="I111" s="149"/>
      <c r="J111" s="149"/>
      <c r="K111" s="149"/>
      <c r="L111" s="149"/>
      <c r="M111" s="149"/>
      <c r="N111" s="149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  <c r="AB111" s="151"/>
      <c r="AC111" s="151"/>
      <c r="AD111" s="152"/>
      <c r="AE111" s="153"/>
      <c r="AF111" s="152"/>
      <c r="AG111" s="154"/>
      <c r="AH111" s="152"/>
      <c r="AI111" s="152"/>
    </row>
    <row r="112" s="50" customFormat="1" ht="30" customHeight="1" spans="1:35">
      <c r="A112" s="155" t="s">
        <v>305</v>
      </c>
      <c r="B112" s="155"/>
      <c r="C112" s="155"/>
      <c r="D112" s="155" t="s">
        <v>76</v>
      </c>
      <c r="E112" s="156"/>
      <c r="F112" s="155" t="s">
        <v>306</v>
      </c>
      <c r="G112" s="155"/>
      <c r="H112" s="155"/>
      <c r="I112" s="155"/>
      <c r="J112" s="155"/>
      <c r="K112" s="155"/>
      <c r="L112" s="155"/>
      <c r="M112" s="155"/>
      <c r="N112" s="155"/>
      <c r="O112" s="157"/>
      <c r="P112" s="157"/>
      <c r="R112" s="155" t="s">
        <v>307</v>
      </c>
      <c r="S112" s="155"/>
      <c r="T112" s="155"/>
      <c r="U112" s="155"/>
      <c r="W112" s="155"/>
      <c r="X112" s="155"/>
      <c r="Y112" s="155"/>
      <c r="Z112" s="155"/>
      <c r="AA112" s="155" t="s">
        <v>308</v>
      </c>
      <c r="AB112" s="158"/>
      <c r="AC112" s="157"/>
    </row>
    <row r="113" ht="30" customHeight="1" spans="1:29">
      <c r="A113" s="152"/>
      <c r="B113" s="152"/>
      <c r="C113" s="159"/>
      <c r="D113" s="160"/>
      <c r="E113" s="152"/>
      <c r="F113" s="152"/>
      <c r="G113" s="152"/>
      <c r="H113" s="152"/>
      <c r="I113" s="152"/>
      <c r="J113" s="161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43"/>
      <c r="AC113" s="152"/>
    </row>
    <row r="114" ht="30" customHeight="1" spans="1:29">
      <c r="A114" s="152"/>
      <c r="B114" s="152"/>
      <c r="C114" s="159"/>
      <c r="D114" s="160"/>
      <c r="E114" s="152"/>
      <c r="F114" s="152"/>
      <c r="G114" s="152"/>
      <c r="H114" s="152"/>
      <c r="I114" s="152"/>
      <c r="J114" s="161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62"/>
      <c r="X114" s="152"/>
      <c r="Y114" s="152"/>
      <c r="Z114" s="152"/>
      <c r="AA114" s="152"/>
      <c r="AB114" s="161"/>
      <c r="AC114" s="152"/>
    </row>
    <row r="115" ht="30" customHeight="1" spans="1:29">
      <c r="A115" s="152"/>
      <c r="B115" s="152"/>
      <c r="C115" s="159"/>
      <c r="D115" s="160"/>
      <c r="E115" s="152"/>
      <c r="F115" s="152"/>
      <c r="G115" s="152"/>
      <c r="H115" s="152"/>
      <c r="I115" s="152"/>
      <c r="J115" s="161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62"/>
      <c r="AB115" s="161"/>
      <c r="AC115" s="152"/>
    </row>
    <row r="116" ht="30" customHeight="1" spans="1:29">
      <c r="A116" s="152"/>
      <c r="B116" s="152"/>
      <c r="C116" s="159"/>
      <c r="D116" s="160"/>
      <c r="E116" s="152"/>
      <c r="F116" s="152"/>
      <c r="G116" s="152"/>
      <c r="H116" s="152"/>
      <c r="I116" s="152"/>
      <c r="J116" s="161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61"/>
      <c r="AC116" s="152"/>
    </row>
    <row r="117" ht="30" customHeight="1" spans="1:29">
      <c r="A117" s="152"/>
      <c r="B117" s="152"/>
      <c r="C117" s="159"/>
      <c r="D117" s="160"/>
      <c r="E117" s="152"/>
      <c r="F117" s="152"/>
      <c r="G117" s="152"/>
      <c r="H117" s="152"/>
      <c r="I117" s="152"/>
      <c r="J117" s="161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61"/>
      <c r="AC117" s="152"/>
    </row>
    <row r="118" ht="30" customHeight="1" spans="1:29">
      <c r="A118" s="152"/>
      <c r="B118" s="152"/>
      <c r="C118" s="159"/>
      <c r="D118" s="160"/>
      <c r="E118" s="152"/>
      <c r="F118" s="152"/>
      <c r="G118" s="152"/>
      <c r="H118" s="152"/>
      <c r="I118" s="152"/>
      <c r="J118" s="161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61"/>
      <c r="AC118" s="152"/>
    </row>
  </sheetData>
  <mergeCells count="7">
    <mergeCell ref="A1:AC1"/>
    <mergeCell ref="A2:AC2"/>
    <mergeCell ref="A111:C111"/>
    <mergeCell ref="F111:N111"/>
    <mergeCell ref="A112:C112"/>
    <mergeCell ref="F112:N112"/>
    <mergeCell ref="R112:T112"/>
  </mergeCells>
  <printOptions horizontalCentered="1"/>
  <pageMargins left="0.433070866141732" right="0" top="0.118110236220472" bottom="0.196850393700787" header="0" footer="0"/>
  <pageSetup paperSize="5" scale="8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68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309</v>
      </c>
      <c r="G1" s="2"/>
      <c r="H1" s="2"/>
      <c r="I1" s="2"/>
      <c r="J1" s="2"/>
      <c r="K1" s="2"/>
    </row>
    <row r="2" ht="22.5" customHeight="1" spans="1:11">
      <c r="A2" s="1" t="s">
        <v>310</v>
      </c>
      <c r="G2" s="2"/>
      <c r="H2" s="2"/>
      <c r="I2" s="2"/>
      <c r="J2" s="2"/>
      <c r="K2" s="2"/>
    </row>
    <row r="3" ht="28.5" customHeight="1" spans="1:11">
      <c r="A3" s="3" t="s">
        <v>311</v>
      </c>
      <c r="B3" s="4" t="s">
        <v>4</v>
      </c>
      <c r="C3" s="3" t="s">
        <v>5</v>
      </c>
      <c r="D3" s="3" t="s">
        <v>6</v>
      </c>
      <c r="E3" s="3" t="s">
        <v>28</v>
      </c>
      <c r="F3" s="5" t="s">
        <v>29</v>
      </c>
      <c r="G3" s="2"/>
      <c r="H3" s="2"/>
      <c r="I3" s="2"/>
      <c r="J3" s="2"/>
      <c r="K3" s="2"/>
    </row>
    <row r="4" ht="21.75" customHeight="1" spans="1:11">
      <c r="A4" s="6"/>
      <c r="B4" s="4" t="s">
        <v>312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313</v>
      </c>
      <c r="C5" s="38" t="s">
        <v>307</v>
      </c>
      <c r="D5" s="19">
        <v>160000</v>
      </c>
      <c r="E5" s="38"/>
      <c r="F5" s="184" t="s">
        <v>314</v>
      </c>
      <c r="G5" s="2">
        <f t="shared" ref="G5:G72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315</v>
      </c>
      <c r="C6" s="38" t="s">
        <v>316</v>
      </c>
      <c r="D6" s="19">
        <v>100106</v>
      </c>
      <c r="E6" s="38">
        <v>99831</v>
      </c>
      <c r="F6" s="184" t="s">
        <v>317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318</v>
      </c>
      <c r="C7" s="38" t="s">
        <v>316</v>
      </c>
      <c r="D7" s="19">
        <v>45000</v>
      </c>
      <c r="E7" s="38">
        <v>44725</v>
      </c>
      <c r="F7" s="184" t="s">
        <v>319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320</v>
      </c>
      <c r="C8" s="38" t="s">
        <v>321</v>
      </c>
      <c r="D8" s="19">
        <v>47667</v>
      </c>
      <c r="E8" s="38">
        <v>47392</v>
      </c>
      <c r="F8" s="184" t="s">
        <v>322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323</v>
      </c>
      <c r="C9" s="38" t="s">
        <v>321</v>
      </c>
      <c r="D9" s="19">
        <v>43206</v>
      </c>
      <c r="E9" s="38">
        <v>42931</v>
      </c>
      <c r="F9" s="184" t="s">
        <v>324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325</v>
      </c>
      <c r="C10" s="38" t="s">
        <v>321</v>
      </c>
      <c r="D10" s="19">
        <v>32460</v>
      </c>
      <c r="E10" s="38">
        <v>32185</v>
      </c>
      <c r="F10" s="184" t="s">
        <v>326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327</v>
      </c>
      <c r="C11" s="38" t="s">
        <v>321</v>
      </c>
      <c r="D11" s="38">
        <v>18000</v>
      </c>
      <c r="E11" s="38">
        <v>17775</v>
      </c>
      <c r="F11" s="184" t="s">
        <v>328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329</v>
      </c>
      <c r="C12" s="38" t="s">
        <v>321</v>
      </c>
      <c r="D12" s="38">
        <v>18000</v>
      </c>
      <c r="E12" s="38">
        <v>17775</v>
      </c>
      <c r="F12" s="184" t="s">
        <v>330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23">
        <v>9</v>
      </c>
      <c r="B13" s="24" t="s">
        <v>331</v>
      </c>
      <c r="C13" s="25" t="s">
        <v>321</v>
      </c>
      <c r="D13" s="25">
        <v>40000</v>
      </c>
      <c r="E13" s="25">
        <v>39725</v>
      </c>
      <c r="F13" s="185" t="s">
        <v>332</v>
      </c>
      <c r="G13" s="27">
        <f t="shared" si="0"/>
        <v>19863</v>
      </c>
      <c r="H13" s="27"/>
      <c r="I13" s="27"/>
      <c r="J13" s="27"/>
      <c r="K13" s="27"/>
    </row>
    <row r="14" ht="28.5" customHeight="1" spans="1:11">
      <c r="A14" s="23">
        <v>10</v>
      </c>
      <c r="B14" s="24" t="s">
        <v>333</v>
      </c>
      <c r="C14" s="25" t="s">
        <v>321</v>
      </c>
      <c r="D14" s="25">
        <v>23000</v>
      </c>
      <c r="E14" s="25">
        <v>22725</v>
      </c>
      <c r="F14" s="185" t="s">
        <v>334</v>
      </c>
      <c r="G14" s="27">
        <f t="shared" si="0"/>
        <v>11363</v>
      </c>
      <c r="H14" s="27"/>
      <c r="I14" s="27"/>
      <c r="J14" s="27"/>
      <c r="K14" s="27"/>
    </row>
    <row r="15" ht="28.5" customHeight="1" spans="1:11">
      <c r="A15" s="19">
        <v>11</v>
      </c>
      <c r="B15" s="32" t="s">
        <v>335</v>
      </c>
      <c r="C15" s="38" t="s">
        <v>321</v>
      </c>
      <c r="D15" s="38">
        <v>22000</v>
      </c>
      <c r="E15" s="38">
        <v>21725</v>
      </c>
      <c r="F15" s="184" t="s">
        <v>336</v>
      </c>
      <c r="G15" s="2">
        <f t="shared" si="0"/>
        <v>10863</v>
      </c>
      <c r="H15" s="2"/>
      <c r="I15" s="2"/>
      <c r="J15" s="2"/>
      <c r="K15" s="2"/>
    </row>
    <row r="16" ht="28.5" customHeight="1" spans="1:11">
      <c r="A16" s="19">
        <v>12</v>
      </c>
      <c r="B16" s="32" t="s">
        <v>337</v>
      </c>
      <c r="C16" s="38" t="s">
        <v>316</v>
      </c>
      <c r="D16" s="38">
        <v>65000</v>
      </c>
      <c r="E16" s="38">
        <v>61725</v>
      </c>
      <c r="F16" s="186" t="s">
        <v>338</v>
      </c>
      <c r="G16" s="2">
        <f t="shared" si="0"/>
        <v>30863</v>
      </c>
      <c r="H16" s="2"/>
      <c r="I16" s="2"/>
      <c r="J16" s="2"/>
      <c r="K16" s="2"/>
    </row>
    <row r="17" ht="28.5" customHeight="1" spans="1:11">
      <c r="A17" s="19">
        <v>13</v>
      </c>
      <c r="B17" s="37" t="s">
        <v>339</v>
      </c>
      <c r="C17" s="38" t="s">
        <v>340</v>
      </c>
      <c r="D17" s="19">
        <v>89961</v>
      </c>
      <c r="E17" s="38">
        <v>86086</v>
      </c>
      <c r="F17" s="187" t="s">
        <v>341</v>
      </c>
      <c r="G17" s="2">
        <f t="shared" si="0"/>
        <v>43043</v>
      </c>
      <c r="H17" s="2"/>
      <c r="I17" s="2"/>
      <c r="J17" s="2"/>
      <c r="K17" s="2"/>
    </row>
    <row r="18" ht="28.5" customHeight="1" spans="1:11">
      <c r="A18" s="19">
        <v>14</v>
      </c>
      <c r="B18" s="37" t="s">
        <v>342</v>
      </c>
      <c r="C18" s="38" t="s">
        <v>316</v>
      </c>
      <c r="D18" s="19">
        <v>51841</v>
      </c>
      <c r="E18" s="38">
        <v>47966</v>
      </c>
      <c r="F18" s="187" t="s">
        <v>343</v>
      </c>
      <c r="G18" s="2">
        <f t="shared" si="0"/>
        <v>23983</v>
      </c>
      <c r="H18" s="2"/>
      <c r="I18" s="2"/>
      <c r="J18" s="2"/>
      <c r="K18" s="2"/>
    </row>
    <row r="19" ht="28.5" customHeight="1" spans="1:11">
      <c r="A19" s="19">
        <v>15</v>
      </c>
      <c r="B19" s="37" t="s">
        <v>344</v>
      </c>
      <c r="C19" s="38" t="s">
        <v>316</v>
      </c>
      <c r="D19" s="19">
        <v>55000</v>
      </c>
      <c r="E19" s="38">
        <v>54725</v>
      </c>
      <c r="F19" s="187" t="s">
        <v>345</v>
      </c>
      <c r="G19" s="2">
        <f t="shared" si="0"/>
        <v>27363</v>
      </c>
      <c r="H19" s="2"/>
      <c r="I19" s="2"/>
      <c r="J19" s="2"/>
      <c r="K19" s="2"/>
    </row>
    <row r="20" ht="28.5" customHeight="1" spans="1:11">
      <c r="A20" s="19">
        <v>16</v>
      </c>
      <c r="B20" s="37" t="s">
        <v>346</v>
      </c>
      <c r="C20" s="38" t="s">
        <v>316</v>
      </c>
      <c r="D20" s="19">
        <v>52000</v>
      </c>
      <c r="E20" s="38">
        <v>51725</v>
      </c>
      <c r="F20" s="19"/>
      <c r="G20" s="2">
        <f t="shared" si="0"/>
        <v>25863</v>
      </c>
      <c r="H20" s="2"/>
      <c r="I20" s="2"/>
      <c r="J20" s="2"/>
      <c r="K20" s="2"/>
    </row>
    <row r="21" ht="28.5" customHeight="1" spans="1:11">
      <c r="A21" s="7">
        <v>17</v>
      </c>
      <c r="B21" s="8" t="s">
        <v>347</v>
      </c>
      <c r="C21" s="9" t="s">
        <v>316</v>
      </c>
      <c r="D21" s="7">
        <v>44332</v>
      </c>
      <c r="E21" s="9">
        <v>44057</v>
      </c>
      <c r="F21" s="188" t="s">
        <v>348</v>
      </c>
      <c r="G21" s="10">
        <f t="shared" si="0"/>
        <v>22029</v>
      </c>
      <c r="H21" s="10"/>
      <c r="I21" s="10"/>
      <c r="J21" s="10"/>
      <c r="K21" s="10"/>
    </row>
    <row r="22" ht="28.5" customHeight="1" spans="1:11">
      <c r="A22" s="19">
        <v>18</v>
      </c>
      <c r="B22" s="37" t="s">
        <v>349</v>
      </c>
      <c r="C22" s="38" t="s">
        <v>316</v>
      </c>
      <c r="D22" s="19">
        <v>60000</v>
      </c>
      <c r="E22" s="38">
        <v>59725</v>
      </c>
      <c r="F22" s="187" t="s">
        <v>350</v>
      </c>
      <c r="G22" s="2">
        <f t="shared" si="0"/>
        <v>29863</v>
      </c>
      <c r="H22" s="2"/>
      <c r="I22" s="2"/>
      <c r="J22" s="2"/>
      <c r="K22" s="2"/>
    </row>
    <row r="23" ht="28.5" customHeight="1" spans="1:11">
      <c r="A23" s="19">
        <v>19</v>
      </c>
      <c r="B23" s="37" t="s">
        <v>351</v>
      </c>
      <c r="C23" s="38" t="s">
        <v>316</v>
      </c>
      <c r="D23" s="19">
        <v>62000</v>
      </c>
      <c r="E23" s="38">
        <v>61725</v>
      </c>
      <c r="F23" s="187" t="s">
        <v>352</v>
      </c>
      <c r="G23" s="2">
        <f t="shared" si="0"/>
        <v>30863</v>
      </c>
      <c r="H23" s="2"/>
      <c r="I23" s="2"/>
      <c r="J23" s="2"/>
      <c r="K23" s="2"/>
    </row>
    <row r="24" ht="28.5" customHeight="1" spans="1:11">
      <c r="A24" s="19">
        <v>20</v>
      </c>
      <c r="B24" s="37" t="s">
        <v>353</v>
      </c>
      <c r="C24" s="38" t="s">
        <v>321</v>
      </c>
      <c r="D24" s="19">
        <v>34510</v>
      </c>
      <c r="E24" s="38">
        <v>34235</v>
      </c>
      <c r="F24" s="187" t="s">
        <v>354</v>
      </c>
      <c r="G24" s="2">
        <f t="shared" si="0"/>
        <v>17118</v>
      </c>
      <c r="H24" s="2"/>
      <c r="I24" s="2"/>
      <c r="J24" s="2"/>
      <c r="K24" s="2"/>
    </row>
    <row r="25" ht="28.5" customHeight="1" spans="1:11">
      <c r="A25" s="19">
        <v>21</v>
      </c>
      <c r="B25" s="37" t="s">
        <v>355</v>
      </c>
      <c r="C25" s="38" t="s">
        <v>321</v>
      </c>
      <c r="D25" s="19">
        <v>20000</v>
      </c>
      <c r="E25" s="38">
        <v>19775</v>
      </c>
      <c r="F25" s="187" t="s">
        <v>356</v>
      </c>
      <c r="G25" s="2">
        <f t="shared" si="0"/>
        <v>9888</v>
      </c>
      <c r="H25" s="2"/>
      <c r="I25" s="2"/>
      <c r="J25" s="2"/>
      <c r="K25" s="2"/>
    </row>
    <row r="26" ht="28.5" customHeight="1" spans="1:11">
      <c r="A26" s="19">
        <v>22</v>
      </c>
      <c r="B26" s="37" t="s">
        <v>357</v>
      </c>
      <c r="C26" s="38" t="s">
        <v>321</v>
      </c>
      <c r="D26" s="19">
        <v>35000</v>
      </c>
      <c r="E26" s="38">
        <v>34725</v>
      </c>
      <c r="F26" s="187" t="s">
        <v>358</v>
      </c>
      <c r="G26" s="2">
        <f t="shared" si="0"/>
        <v>17363</v>
      </c>
      <c r="H26" s="2"/>
      <c r="I26" s="2"/>
      <c r="J26" s="2"/>
      <c r="K26" s="2"/>
    </row>
    <row r="27" ht="28.5" customHeight="1" spans="1:11">
      <c r="A27" s="23">
        <v>23</v>
      </c>
      <c r="B27" s="34" t="s">
        <v>359</v>
      </c>
      <c r="C27" s="25" t="s">
        <v>321</v>
      </c>
      <c r="D27" s="23">
        <v>18000</v>
      </c>
      <c r="E27" s="25">
        <v>17775</v>
      </c>
      <c r="F27" s="189" t="s">
        <v>360</v>
      </c>
      <c r="G27" s="27">
        <f t="shared" si="0"/>
        <v>8888</v>
      </c>
      <c r="H27" s="27"/>
      <c r="I27" s="27"/>
      <c r="J27" s="27"/>
      <c r="K27" s="27"/>
    </row>
    <row r="28" ht="28.5" customHeight="1" spans="1:11">
      <c r="A28" s="19">
        <v>24</v>
      </c>
      <c r="B28" s="37" t="s">
        <v>361</v>
      </c>
      <c r="C28" s="38" t="s">
        <v>321</v>
      </c>
      <c r="D28" s="19">
        <v>25000</v>
      </c>
      <c r="E28" s="38">
        <v>24725</v>
      </c>
      <c r="F28" s="187" t="s">
        <v>362</v>
      </c>
      <c r="G28" s="2">
        <f t="shared" si="0"/>
        <v>12363</v>
      </c>
      <c r="H28" s="2"/>
      <c r="I28" s="2"/>
      <c r="J28" s="2"/>
      <c r="K28" s="2"/>
    </row>
    <row r="29" ht="28.5" customHeight="1" spans="1:11">
      <c r="A29" s="19">
        <v>25</v>
      </c>
      <c r="B29" s="37" t="s">
        <v>363</v>
      </c>
      <c r="C29" s="38" t="s">
        <v>321</v>
      </c>
      <c r="D29" s="19">
        <v>26460</v>
      </c>
      <c r="E29" s="38">
        <v>26185</v>
      </c>
      <c r="F29" s="187" t="s">
        <v>364</v>
      </c>
      <c r="G29" s="2">
        <f t="shared" si="0"/>
        <v>13093</v>
      </c>
      <c r="H29" s="2"/>
      <c r="I29" s="2"/>
      <c r="J29" s="2"/>
      <c r="K29" s="2"/>
    </row>
    <row r="30" ht="43.5" customHeight="1" spans="1:11">
      <c r="A30" s="19">
        <v>26</v>
      </c>
      <c r="B30" s="37" t="s">
        <v>365</v>
      </c>
      <c r="C30" s="38" t="s">
        <v>366</v>
      </c>
      <c r="D30" s="19">
        <v>100000</v>
      </c>
      <c r="E30" s="38">
        <v>96125</v>
      </c>
      <c r="F30" s="184" t="s">
        <v>367</v>
      </c>
      <c r="G30" s="2">
        <f t="shared" si="0"/>
        <v>48063</v>
      </c>
      <c r="H30" s="2"/>
      <c r="I30" s="2"/>
      <c r="J30" s="2"/>
      <c r="K30" s="2"/>
    </row>
    <row r="31" ht="28.5" customHeight="1" spans="1:11">
      <c r="A31" s="19">
        <v>27</v>
      </c>
      <c r="B31" s="37" t="s">
        <v>368</v>
      </c>
      <c r="C31" s="38" t="s">
        <v>369</v>
      </c>
      <c r="D31" s="19">
        <v>65000</v>
      </c>
      <c r="E31" s="38">
        <v>64725</v>
      </c>
      <c r="F31" s="184" t="s">
        <v>370</v>
      </c>
      <c r="G31" s="2">
        <f t="shared" si="0"/>
        <v>32363</v>
      </c>
      <c r="H31" s="2"/>
      <c r="I31" s="2"/>
      <c r="J31" s="2"/>
      <c r="K31" s="2"/>
    </row>
    <row r="32" ht="28.5" customHeight="1" spans="1:11">
      <c r="A32" s="19">
        <v>28</v>
      </c>
      <c r="B32" s="37" t="s">
        <v>371</v>
      </c>
      <c r="C32" s="38" t="s">
        <v>372</v>
      </c>
      <c r="D32" s="19">
        <v>89961</v>
      </c>
      <c r="E32" s="38">
        <v>86086</v>
      </c>
      <c r="F32" s="184" t="s">
        <v>373</v>
      </c>
      <c r="G32" s="2">
        <f t="shared" si="0"/>
        <v>43043</v>
      </c>
      <c r="H32" s="2"/>
      <c r="I32" s="2"/>
      <c r="J32" s="2"/>
      <c r="K32" s="2"/>
    </row>
    <row r="33" ht="28.5" customHeight="1" spans="1:11">
      <c r="A33" s="19">
        <v>29</v>
      </c>
      <c r="B33" s="37" t="s">
        <v>374</v>
      </c>
      <c r="C33" s="38" t="s">
        <v>372</v>
      </c>
      <c r="D33" s="19">
        <v>75000</v>
      </c>
      <c r="E33" s="38">
        <v>74725</v>
      </c>
      <c r="F33" s="184" t="s">
        <v>375</v>
      </c>
      <c r="G33" s="2">
        <f t="shared" si="0"/>
        <v>37363</v>
      </c>
      <c r="H33" s="2"/>
      <c r="I33" s="2"/>
      <c r="J33" s="2"/>
      <c r="K33" s="2"/>
    </row>
    <row r="34" ht="28.5" customHeight="1" spans="1:11">
      <c r="A34" s="19">
        <v>30</v>
      </c>
      <c r="B34" s="37" t="s">
        <v>376</v>
      </c>
      <c r="C34" s="38" t="s">
        <v>377</v>
      </c>
      <c r="D34" s="19">
        <v>45000</v>
      </c>
      <c r="E34" s="38">
        <v>44725</v>
      </c>
      <c r="F34" s="184" t="s">
        <v>378</v>
      </c>
      <c r="G34" s="2">
        <f t="shared" si="0"/>
        <v>22363</v>
      </c>
      <c r="H34" s="2"/>
      <c r="I34" s="2"/>
      <c r="J34" s="2"/>
      <c r="K34" s="2"/>
    </row>
    <row r="35" ht="28.5" customHeight="1" spans="1:11">
      <c r="A35" s="19">
        <v>31</v>
      </c>
      <c r="B35" s="37" t="s">
        <v>379</v>
      </c>
      <c r="C35" s="38" t="s">
        <v>377</v>
      </c>
      <c r="D35" s="19">
        <v>55000</v>
      </c>
      <c r="E35" s="38">
        <v>54725</v>
      </c>
      <c r="F35" s="184" t="s">
        <v>380</v>
      </c>
      <c r="G35" s="2">
        <f t="shared" si="0"/>
        <v>27363</v>
      </c>
      <c r="H35" s="2"/>
      <c r="I35" s="2"/>
      <c r="J35" s="2"/>
      <c r="K35" s="2"/>
    </row>
    <row r="36" ht="28.5" customHeight="1" spans="1:11">
      <c r="A36" s="19">
        <v>32</v>
      </c>
      <c r="B36" s="37" t="s">
        <v>381</v>
      </c>
      <c r="C36" s="38" t="s">
        <v>321</v>
      </c>
      <c r="D36" s="19">
        <v>65000</v>
      </c>
      <c r="E36" s="38">
        <v>68725</v>
      </c>
      <c r="F36" s="184" t="s">
        <v>382</v>
      </c>
      <c r="G36" s="2">
        <f t="shared" si="0"/>
        <v>34363</v>
      </c>
      <c r="H36" s="2"/>
      <c r="I36" s="2"/>
      <c r="J36" s="2"/>
      <c r="K36" s="2"/>
    </row>
    <row r="37" ht="28.5" customHeight="1" spans="1:11">
      <c r="A37" s="19">
        <v>33</v>
      </c>
      <c r="B37" s="37" t="s">
        <v>383</v>
      </c>
      <c r="C37" s="38" t="s">
        <v>321</v>
      </c>
      <c r="D37" s="19">
        <v>31949</v>
      </c>
      <c r="E37" s="38">
        <v>31674</v>
      </c>
      <c r="F37" s="184" t="s">
        <v>384</v>
      </c>
      <c r="G37" s="2">
        <f t="shared" si="0"/>
        <v>15837</v>
      </c>
      <c r="H37" s="2"/>
      <c r="I37" s="2"/>
      <c r="J37" s="2"/>
      <c r="K37" s="2"/>
    </row>
    <row r="38" ht="28.5" customHeight="1" spans="1:11">
      <c r="A38" s="19">
        <v>34</v>
      </c>
      <c r="B38" s="37" t="s">
        <v>385</v>
      </c>
      <c r="C38" s="38" t="s">
        <v>321</v>
      </c>
      <c r="D38" s="19">
        <v>20000</v>
      </c>
      <c r="E38" s="38">
        <v>19775</v>
      </c>
      <c r="F38" s="184" t="s">
        <v>386</v>
      </c>
      <c r="G38" s="2">
        <f t="shared" si="0"/>
        <v>9888</v>
      </c>
      <c r="H38" s="2"/>
      <c r="I38" s="2"/>
      <c r="J38" s="2"/>
      <c r="K38" s="2"/>
    </row>
    <row r="39" ht="28.5" customHeight="1" spans="1:11">
      <c r="A39" s="19">
        <v>35</v>
      </c>
      <c r="B39" s="37" t="s">
        <v>387</v>
      </c>
      <c r="C39" s="38" t="s">
        <v>321</v>
      </c>
      <c r="D39" s="19">
        <v>25000</v>
      </c>
      <c r="E39" s="38">
        <v>24725</v>
      </c>
      <c r="F39" s="184" t="s">
        <v>388</v>
      </c>
      <c r="G39" s="2">
        <f t="shared" si="0"/>
        <v>12363</v>
      </c>
      <c r="H39" s="2"/>
      <c r="I39" s="2"/>
      <c r="J39" s="2"/>
      <c r="K39" s="2"/>
    </row>
    <row r="40" ht="28.5" customHeight="1" spans="1:11">
      <c r="A40" s="19">
        <v>36</v>
      </c>
      <c r="B40" s="37" t="s">
        <v>389</v>
      </c>
      <c r="C40" s="38" t="s">
        <v>321</v>
      </c>
      <c r="D40" s="19">
        <v>45000</v>
      </c>
      <c r="E40" s="38">
        <v>44725</v>
      </c>
      <c r="F40" s="184" t="s">
        <v>390</v>
      </c>
      <c r="G40" s="2">
        <f t="shared" si="0"/>
        <v>22363</v>
      </c>
      <c r="H40" s="2"/>
      <c r="I40" s="2"/>
      <c r="J40" s="2"/>
      <c r="K40" s="2"/>
    </row>
    <row r="41" ht="28.5" customHeight="1" spans="1:11">
      <c r="A41" s="19">
        <v>37</v>
      </c>
      <c r="B41" s="37" t="s">
        <v>391</v>
      </c>
      <c r="C41" s="38" t="s">
        <v>321</v>
      </c>
      <c r="D41" s="19">
        <v>15000</v>
      </c>
      <c r="E41" s="38">
        <v>14925</v>
      </c>
      <c r="F41" s="184" t="s">
        <v>392</v>
      </c>
      <c r="G41" s="2">
        <f t="shared" si="0"/>
        <v>7463</v>
      </c>
      <c r="H41" s="2"/>
      <c r="I41" s="2"/>
      <c r="J41" s="2"/>
      <c r="K41" s="2"/>
    </row>
    <row r="42" ht="29.25" customHeight="1" spans="1:11">
      <c r="A42" s="19">
        <v>38</v>
      </c>
      <c r="B42" s="37" t="s">
        <v>393</v>
      </c>
      <c r="C42" s="38" t="s">
        <v>321</v>
      </c>
      <c r="D42" s="19">
        <v>15000</v>
      </c>
      <c r="E42" s="38">
        <v>14925</v>
      </c>
      <c r="F42" s="184" t="s">
        <v>394</v>
      </c>
      <c r="G42" s="2">
        <f t="shared" si="0"/>
        <v>7463</v>
      </c>
      <c r="H42" s="2"/>
      <c r="I42" s="2"/>
      <c r="J42" s="2"/>
      <c r="K42" s="2"/>
    </row>
    <row r="43" ht="28.5" customHeight="1" spans="1:11">
      <c r="A43" s="19">
        <v>39</v>
      </c>
      <c r="B43" s="37" t="s">
        <v>395</v>
      </c>
      <c r="C43" s="38" t="s">
        <v>321</v>
      </c>
      <c r="D43" s="19">
        <v>60000</v>
      </c>
      <c r="E43" s="38">
        <v>59725</v>
      </c>
      <c r="F43" s="184" t="s">
        <v>396</v>
      </c>
      <c r="G43" s="2">
        <f t="shared" si="0"/>
        <v>29863</v>
      </c>
      <c r="H43" s="2"/>
      <c r="I43" s="2"/>
      <c r="J43" s="2"/>
      <c r="K43" s="2"/>
    </row>
    <row r="44" ht="28.5" customHeight="1" spans="1:11">
      <c r="A44" s="19">
        <v>40</v>
      </c>
      <c r="B44" s="37" t="s">
        <v>397</v>
      </c>
      <c r="C44" s="38" t="s">
        <v>321</v>
      </c>
      <c r="D44" s="19">
        <v>25000</v>
      </c>
      <c r="E44" s="38">
        <v>24725</v>
      </c>
      <c r="F44" s="184" t="s">
        <v>398</v>
      </c>
      <c r="G44" s="2">
        <f t="shared" si="0"/>
        <v>12363</v>
      </c>
      <c r="H44" s="2"/>
      <c r="I44" s="2"/>
      <c r="J44" s="2"/>
      <c r="K44" s="2"/>
    </row>
    <row r="45" ht="28.5" customHeight="1" spans="1:11">
      <c r="A45" s="19">
        <v>41</v>
      </c>
      <c r="B45" s="37" t="s">
        <v>399</v>
      </c>
      <c r="C45" s="38" t="s">
        <v>321</v>
      </c>
      <c r="D45" s="19">
        <v>25000</v>
      </c>
      <c r="E45" s="38">
        <v>24725</v>
      </c>
      <c r="F45" s="184" t="s">
        <v>400</v>
      </c>
      <c r="G45" s="2">
        <f t="shared" si="0"/>
        <v>12363</v>
      </c>
      <c r="H45" s="2"/>
      <c r="I45" s="2"/>
      <c r="J45" s="2"/>
      <c r="K45" s="2"/>
    </row>
    <row r="46" ht="28.5" customHeight="1" spans="1:11">
      <c r="A46" s="19">
        <v>42</v>
      </c>
      <c r="B46" s="37" t="s">
        <v>401</v>
      </c>
      <c r="C46" s="38" t="s">
        <v>321</v>
      </c>
      <c r="D46" s="19">
        <v>25000</v>
      </c>
      <c r="E46" s="38">
        <v>24725</v>
      </c>
      <c r="F46" s="184" t="s">
        <v>402</v>
      </c>
      <c r="G46" s="2">
        <f t="shared" si="0"/>
        <v>12363</v>
      </c>
      <c r="H46" s="2"/>
      <c r="I46" s="2"/>
      <c r="J46" s="2"/>
      <c r="K46" s="2"/>
    </row>
    <row r="47" ht="28.5" customHeight="1" spans="1:11">
      <c r="A47" s="19"/>
      <c r="B47" s="37"/>
      <c r="C47" s="38"/>
      <c r="D47" s="19"/>
      <c r="E47" s="38"/>
      <c r="F47" s="22"/>
      <c r="G47" s="2">
        <f t="shared" si="0"/>
        <v>0</v>
      </c>
      <c r="H47" s="2"/>
      <c r="I47" s="2"/>
      <c r="J47" s="2"/>
      <c r="K47" s="2"/>
    </row>
    <row r="48" ht="28.5" customHeight="1" spans="1:11">
      <c r="A48" s="19">
        <v>43</v>
      </c>
      <c r="B48" s="37" t="s">
        <v>403</v>
      </c>
      <c r="C48" s="38" t="s">
        <v>404</v>
      </c>
      <c r="D48" s="19">
        <v>80000</v>
      </c>
      <c r="E48" s="38">
        <v>79725</v>
      </c>
      <c r="F48" s="187" t="s">
        <v>405</v>
      </c>
      <c r="G48" s="2">
        <f t="shared" si="0"/>
        <v>39863</v>
      </c>
      <c r="H48" s="2"/>
      <c r="I48" s="2"/>
      <c r="J48" s="2"/>
      <c r="K48" s="2"/>
    </row>
    <row r="49" ht="28.5" customHeight="1" spans="1:11">
      <c r="A49" s="7">
        <v>44</v>
      </c>
      <c r="B49" s="11" t="s">
        <v>406</v>
      </c>
      <c r="C49" s="9" t="s">
        <v>316</v>
      </c>
      <c r="D49" s="7">
        <v>70000</v>
      </c>
      <c r="E49" s="9">
        <v>69725</v>
      </c>
      <c r="F49" s="188" t="s">
        <v>407</v>
      </c>
      <c r="G49" s="10">
        <f t="shared" si="0"/>
        <v>34863</v>
      </c>
      <c r="H49" s="10"/>
      <c r="I49" s="10"/>
      <c r="J49" s="10"/>
      <c r="K49" s="10"/>
    </row>
    <row r="50" ht="28.5" customHeight="1" spans="1:11">
      <c r="A50" s="19">
        <v>45</v>
      </c>
      <c r="B50" s="40" t="s">
        <v>408</v>
      </c>
      <c r="C50" s="38" t="s">
        <v>316</v>
      </c>
      <c r="D50" s="19">
        <v>50000</v>
      </c>
      <c r="E50" s="38">
        <v>49725</v>
      </c>
      <c r="F50" s="187" t="s">
        <v>409</v>
      </c>
      <c r="G50" s="2">
        <f t="shared" si="0"/>
        <v>24863</v>
      </c>
      <c r="H50" s="2"/>
      <c r="I50" s="2"/>
      <c r="J50" s="2"/>
      <c r="K50" s="2"/>
    </row>
    <row r="51" ht="28.5" customHeight="1" spans="1:11">
      <c r="A51" s="19">
        <v>46</v>
      </c>
      <c r="B51" s="40" t="s">
        <v>410</v>
      </c>
      <c r="C51" s="38" t="s">
        <v>316</v>
      </c>
      <c r="D51" s="19">
        <v>50000</v>
      </c>
      <c r="E51" s="38">
        <v>49725</v>
      </c>
      <c r="F51" s="187" t="s">
        <v>411</v>
      </c>
      <c r="G51" s="2">
        <f t="shared" si="0"/>
        <v>24863</v>
      </c>
      <c r="H51" s="2"/>
      <c r="I51" s="2"/>
      <c r="J51" s="2"/>
      <c r="K51" s="2"/>
    </row>
    <row r="52" ht="28.5" customHeight="1" spans="1:11">
      <c r="A52" s="23">
        <v>47</v>
      </c>
      <c r="B52" s="35" t="s">
        <v>412</v>
      </c>
      <c r="C52" s="25" t="s">
        <v>316</v>
      </c>
      <c r="D52" s="23">
        <v>75000</v>
      </c>
      <c r="E52" s="25">
        <v>74725</v>
      </c>
      <c r="F52" s="23"/>
      <c r="G52" s="27">
        <f t="shared" si="0"/>
        <v>37363</v>
      </c>
      <c r="H52" s="27"/>
      <c r="I52" s="27"/>
      <c r="J52" s="27"/>
      <c r="K52" s="27"/>
    </row>
    <row r="53" ht="28.5" customHeight="1" spans="1:11">
      <c r="A53" s="19">
        <v>48</v>
      </c>
      <c r="B53" s="37" t="s">
        <v>413</v>
      </c>
      <c r="C53" s="38" t="s">
        <v>316</v>
      </c>
      <c r="D53" s="19">
        <v>46559</v>
      </c>
      <c r="E53" s="38">
        <v>42684</v>
      </c>
      <c r="F53" s="187" t="s">
        <v>414</v>
      </c>
      <c r="G53" s="2">
        <f t="shared" si="0"/>
        <v>21342</v>
      </c>
      <c r="H53" s="2"/>
      <c r="I53" s="2"/>
      <c r="J53" s="2"/>
      <c r="K53" s="2"/>
    </row>
    <row r="54" ht="28.5" customHeight="1" spans="1:11">
      <c r="A54" s="19">
        <v>49</v>
      </c>
      <c r="B54" s="37" t="s">
        <v>415</v>
      </c>
      <c r="C54" s="38" t="s">
        <v>316</v>
      </c>
      <c r="D54" s="19">
        <v>40548</v>
      </c>
      <c r="E54" s="38">
        <v>36673</v>
      </c>
      <c r="F54" s="187" t="s">
        <v>416</v>
      </c>
      <c r="G54" s="2">
        <f t="shared" si="0"/>
        <v>18337</v>
      </c>
      <c r="H54" s="2"/>
      <c r="I54" s="2"/>
      <c r="J54" s="2"/>
      <c r="K54" s="2"/>
    </row>
    <row r="55" ht="28.5" customHeight="1" spans="1:11">
      <c r="A55" s="19">
        <v>50</v>
      </c>
      <c r="B55" s="37" t="s">
        <v>417</v>
      </c>
      <c r="C55" s="38" t="s">
        <v>316</v>
      </c>
      <c r="D55" s="19">
        <v>36045</v>
      </c>
      <c r="E55" s="38">
        <v>36170</v>
      </c>
      <c r="F55" s="187" t="s">
        <v>418</v>
      </c>
      <c r="G55" s="2">
        <f t="shared" si="0"/>
        <v>18085</v>
      </c>
      <c r="H55" s="2"/>
      <c r="I55" s="2"/>
      <c r="J55" s="2"/>
      <c r="K55" s="2"/>
    </row>
    <row r="56" ht="28.5" customHeight="1" spans="1:11">
      <c r="A56" s="7">
        <v>51</v>
      </c>
      <c r="B56" s="8" t="s">
        <v>419</v>
      </c>
      <c r="C56" s="9" t="s">
        <v>316</v>
      </c>
      <c r="D56" s="7">
        <v>38000</v>
      </c>
      <c r="E56" s="9">
        <v>37725</v>
      </c>
      <c r="F56" s="188" t="s">
        <v>420</v>
      </c>
      <c r="G56" s="10">
        <f t="shared" si="0"/>
        <v>18863</v>
      </c>
      <c r="H56" s="10"/>
      <c r="I56" s="10"/>
      <c r="J56" s="10"/>
      <c r="K56" s="10"/>
    </row>
    <row r="57" ht="28.5" customHeight="1" spans="1:11">
      <c r="A57" s="19">
        <v>52</v>
      </c>
      <c r="B57" s="37" t="s">
        <v>421</v>
      </c>
      <c r="C57" s="38" t="s">
        <v>316</v>
      </c>
      <c r="D57" s="19">
        <v>45000</v>
      </c>
      <c r="E57" s="38">
        <v>44725</v>
      </c>
      <c r="F57" s="187" t="s">
        <v>422</v>
      </c>
      <c r="G57" s="2">
        <f t="shared" si="0"/>
        <v>22363</v>
      </c>
      <c r="H57" s="2"/>
      <c r="I57" s="2"/>
      <c r="J57" s="2"/>
      <c r="K57" s="2"/>
    </row>
    <row r="58" ht="28.5" customHeight="1" spans="1:11">
      <c r="A58" s="19">
        <v>53</v>
      </c>
      <c r="B58" s="37" t="s">
        <v>423</v>
      </c>
      <c r="C58" s="38" t="s">
        <v>424</v>
      </c>
      <c r="D58" s="19">
        <v>20000</v>
      </c>
      <c r="E58" s="38">
        <v>19775</v>
      </c>
      <c r="F58" s="187" t="s">
        <v>425</v>
      </c>
      <c r="G58" s="2">
        <f t="shared" si="0"/>
        <v>9888</v>
      </c>
      <c r="H58" s="2"/>
      <c r="I58" s="2"/>
      <c r="J58" s="2"/>
      <c r="K58" s="2"/>
    </row>
    <row r="59" ht="28.5" customHeight="1" spans="1:11">
      <c r="A59" s="19">
        <v>54</v>
      </c>
      <c r="B59" s="37" t="s">
        <v>426</v>
      </c>
      <c r="C59" s="38" t="s">
        <v>321</v>
      </c>
      <c r="D59" s="19">
        <v>34510</v>
      </c>
      <c r="E59" s="38">
        <v>34235</v>
      </c>
      <c r="F59" s="187" t="s">
        <v>427</v>
      </c>
      <c r="G59" s="2">
        <f t="shared" si="0"/>
        <v>17118</v>
      </c>
      <c r="H59" s="2"/>
      <c r="I59" s="2"/>
      <c r="J59" s="2"/>
      <c r="K59" s="2"/>
    </row>
    <row r="60" ht="28.5" customHeight="1" spans="1:11">
      <c r="A60" s="19">
        <v>55</v>
      </c>
      <c r="B60" s="37" t="s">
        <v>428</v>
      </c>
      <c r="C60" s="38" t="s">
        <v>321</v>
      </c>
      <c r="D60" s="19">
        <v>65000</v>
      </c>
      <c r="E60" s="38">
        <v>64725</v>
      </c>
      <c r="F60" s="187" t="s">
        <v>429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56</v>
      </c>
      <c r="B61" s="37" t="s">
        <v>430</v>
      </c>
      <c r="C61" s="38" t="s">
        <v>321</v>
      </c>
      <c r="D61" s="19">
        <v>23000</v>
      </c>
      <c r="E61" s="38">
        <v>22725</v>
      </c>
      <c r="F61" s="187" t="s">
        <v>431</v>
      </c>
      <c r="G61" s="2">
        <f t="shared" si="0"/>
        <v>11363</v>
      </c>
      <c r="H61" s="2"/>
      <c r="I61" s="2"/>
      <c r="J61" s="2"/>
      <c r="K61" s="2"/>
    </row>
    <row r="62" ht="28.5" customHeight="1" spans="1:11">
      <c r="A62" s="7">
        <v>57</v>
      </c>
      <c r="B62" s="8" t="s">
        <v>432</v>
      </c>
      <c r="C62" s="9" t="s">
        <v>321</v>
      </c>
      <c r="D62" s="7">
        <v>59890</v>
      </c>
      <c r="E62" s="9">
        <v>59615</v>
      </c>
      <c r="F62" s="188" t="s">
        <v>433</v>
      </c>
      <c r="G62" s="10">
        <f t="shared" si="0"/>
        <v>29808</v>
      </c>
      <c r="H62" s="10"/>
      <c r="I62" s="10"/>
      <c r="J62" s="10"/>
      <c r="K62" s="10"/>
    </row>
    <row r="63" ht="28.5" customHeight="1" spans="1:11">
      <c r="A63" s="19">
        <v>58</v>
      </c>
      <c r="B63" s="37" t="s">
        <v>434</v>
      </c>
      <c r="C63" s="38" t="s">
        <v>321</v>
      </c>
      <c r="D63" s="19">
        <v>33460</v>
      </c>
      <c r="E63" s="38">
        <v>33185</v>
      </c>
      <c r="F63" s="187" t="s">
        <v>435</v>
      </c>
      <c r="G63" s="2">
        <f t="shared" si="0"/>
        <v>16593</v>
      </c>
      <c r="H63" s="2"/>
      <c r="I63" s="2"/>
      <c r="J63" s="2"/>
      <c r="K63" s="2"/>
    </row>
    <row r="64" ht="28.5" customHeight="1" spans="1:11">
      <c r="A64" s="19">
        <v>59</v>
      </c>
      <c r="B64" s="37" t="s">
        <v>436</v>
      </c>
      <c r="C64" s="38" t="s">
        <v>321</v>
      </c>
      <c r="D64" s="19">
        <v>17000</v>
      </c>
      <c r="E64" s="38">
        <v>16775</v>
      </c>
      <c r="F64" s="187" t="s">
        <v>437</v>
      </c>
      <c r="G64" s="2">
        <f t="shared" si="0"/>
        <v>8388</v>
      </c>
      <c r="H64" s="2"/>
      <c r="I64" s="2"/>
      <c r="J64" s="2"/>
      <c r="K64" s="2"/>
    </row>
    <row r="65" ht="28.5" customHeight="1" spans="1:11">
      <c r="A65" s="19">
        <v>60</v>
      </c>
      <c r="B65" s="37" t="s">
        <v>438</v>
      </c>
      <c r="C65" s="38" t="s">
        <v>321</v>
      </c>
      <c r="D65" s="19">
        <v>75000</v>
      </c>
      <c r="E65" s="38">
        <v>74725</v>
      </c>
      <c r="F65" s="187" t="s">
        <v>439</v>
      </c>
      <c r="G65" s="2">
        <f t="shared" si="0"/>
        <v>37363</v>
      </c>
      <c r="H65" s="2"/>
      <c r="I65" s="2"/>
      <c r="J65" s="2"/>
      <c r="K65" s="2"/>
    </row>
    <row r="66" ht="28.5" customHeight="1" spans="1:11">
      <c r="A66" s="19">
        <v>61</v>
      </c>
      <c r="B66" s="37" t="s">
        <v>440</v>
      </c>
      <c r="C66" s="38" t="s">
        <v>321</v>
      </c>
      <c r="D66" s="19">
        <v>18000</v>
      </c>
      <c r="E66" s="38">
        <v>17775</v>
      </c>
      <c r="F66" s="187" t="s">
        <v>441</v>
      </c>
      <c r="G66" s="2">
        <f t="shared" si="0"/>
        <v>8888</v>
      </c>
      <c r="H66" s="2"/>
      <c r="I66" s="2"/>
      <c r="J66" s="2"/>
      <c r="K66" s="2"/>
    </row>
    <row r="67" ht="28.5" customHeight="1" spans="1:11">
      <c r="A67" s="19">
        <v>62</v>
      </c>
      <c r="B67" s="37" t="s">
        <v>442</v>
      </c>
      <c r="C67" s="38" t="s">
        <v>321</v>
      </c>
      <c r="D67" s="19">
        <v>50000</v>
      </c>
      <c r="E67" s="38">
        <v>49725</v>
      </c>
      <c r="F67" s="187" t="s">
        <v>443</v>
      </c>
      <c r="G67" s="2">
        <f t="shared" si="0"/>
        <v>24863</v>
      </c>
      <c r="H67" s="2"/>
      <c r="I67" s="2"/>
      <c r="J67" s="2"/>
      <c r="K67" s="2"/>
    </row>
    <row r="68" ht="28.5" customHeight="1" spans="1:11">
      <c r="A68" s="19">
        <v>63</v>
      </c>
      <c r="B68" s="37" t="s">
        <v>444</v>
      </c>
      <c r="C68" s="38" t="s">
        <v>321</v>
      </c>
      <c r="D68" s="19">
        <v>31460</v>
      </c>
      <c r="E68" s="38">
        <v>31185</v>
      </c>
      <c r="F68" s="187" t="s">
        <v>445</v>
      </c>
      <c r="G68" s="2">
        <f t="shared" si="0"/>
        <v>15593</v>
      </c>
      <c r="H68" s="2"/>
      <c r="I68" s="2"/>
      <c r="J68" s="2"/>
      <c r="K68" s="2"/>
    </row>
    <row r="69" ht="28.5" customHeight="1" spans="1:11">
      <c r="A69" s="19">
        <v>64</v>
      </c>
      <c r="B69" s="37" t="s">
        <v>446</v>
      </c>
      <c r="C69" s="38" t="s">
        <v>321</v>
      </c>
      <c r="D69" s="19">
        <v>65000</v>
      </c>
      <c r="E69" s="38">
        <v>64725</v>
      </c>
      <c r="F69" s="187" t="s">
        <v>447</v>
      </c>
      <c r="G69" s="2">
        <f t="shared" si="0"/>
        <v>32363</v>
      </c>
      <c r="H69" s="2"/>
      <c r="I69" s="2"/>
      <c r="J69" s="2"/>
      <c r="K69" s="2"/>
    </row>
    <row r="70" ht="28.5" customHeight="1" spans="1:11">
      <c r="A70" s="19">
        <v>65</v>
      </c>
      <c r="B70" s="37" t="s">
        <v>448</v>
      </c>
      <c r="C70" s="38" t="s">
        <v>321</v>
      </c>
      <c r="D70" s="19">
        <v>15000</v>
      </c>
      <c r="E70" s="38">
        <v>14970</v>
      </c>
      <c r="F70" s="187" t="s">
        <v>449</v>
      </c>
      <c r="G70" s="2">
        <f t="shared" si="0"/>
        <v>7485</v>
      </c>
      <c r="H70" s="2"/>
      <c r="I70" s="2"/>
      <c r="J70" s="2"/>
      <c r="K70" s="2"/>
    </row>
    <row r="71" ht="28.5" customHeight="1" spans="1:11">
      <c r="A71" s="19">
        <v>66</v>
      </c>
      <c r="B71" s="37" t="s">
        <v>193</v>
      </c>
      <c r="C71" s="38" t="s">
        <v>321</v>
      </c>
      <c r="D71" s="19">
        <v>15000</v>
      </c>
      <c r="E71" s="38">
        <v>13170</v>
      </c>
      <c r="F71" s="187" t="s">
        <v>194</v>
      </c>
      <c r="G71" s="2">
        <f t="shared" si="0"/>
        <v>6585</v>
      </c>
      <c r="H71" s="2"/>
      <c r="I71" s="2"/>
      <c r="J71" s="2"/>
      <c r="K71" s="2"/>
    </row>
    <row r="72" ht="28.5" customHeight="1" spans="1:11">
      <c r="A72" s="19">
        <v>67</v>
      </c>
      <c r="B72" s="37" t="s">
        <v>450</v>
      </c>
      <c r="C72" s="38" t="s">
        <v>321</v>
      </c>
      <c r="D72" s="19">
        <v>25000</v>
      </c>
      <c r="E72" s="38">
        <v>24725</v>
      </c>
      <c r="F72" s="187" t="s">
        <v>451</v>
      </c>
      <c r="G72" s="2">
        <f t="shared" si="0"/>
        <v>12363</v>
      </c>
      <c r="H72" s="2"/>
      <c r="I72" s="2"/>
      <c r="J72" s="2"/>
      <c r="K72" s="2"/>
    </row>
    <row r="73" ht="28.5" customHeight="1" spans="1:11">
      <c r="A73" s="19"/>
      <c r="B73" s="37"/>
      <c r="C73" s="38"/>
      <c r="D73" s="19"/>
      <c r="E73" s="38"/>
      <c r="F73" s="19"/>
      <c r="G73" s="2"/>
      <c r="H73" s="2"/>
      <c r="I73" s="2"/>
      <c r="J73" s="2"/>
      <c r="K73" s="2"/>
    </row>
    <row r="74" ht="28.5" customHeight="1" spans="1:11">
      <c r="A74" s="19">
        <v>68</v>
      </c>
      <c r="B74" s="37" t="s">
        <v>452</v>
      </c>
      <c r="C74" s="38" t="s">
        <v>453</v>
      </c>
      <c r="D74" s="19">
        <v>40395</v>
      </c>
      <c r="E74" s="38">
        <v>36520</v>
      </c>
      <c r="F74" s="187" t="s">
        <v>454</v>
      </c>
      <c r="G74" s="2">
        <f t="shared" ref="G74:G105" si="1">ROUND(E74/2,0)</f>
        <v>18260</v>
      </c>
      <c r="H74" s="2"/>
      <c r="I74" s="2"/>
      <c r="J74" s="2"/>
      <c r="K74" s="2"/>
    </row>
    <row r="75" ht="28.5" customHeight="1" spans="1:11">
      <c r="A75" s="19">
        <v>69</v>
      </c>
      <c r="B75" s="37" t="s">
        <v>455</v>
      </c>
      <c r="C75" s="38" t="s">
        <v>316</v>
      </c>
      <c r="D75" s="19">
        <v>49126</v>
      </c>
      <c r="E75" s="38">
        <v>45251</v>
      </c>
      <c r="F75" s="187" t="s">
        <v>456</v>
      </c>
      <c r="G75" s="2">
        <f t="shared" si="1"/>
        <v>22626</v>
      </c>
      <c r="H75" s="2"/>
      <c r="I75" s="2"/>
      <c r="J75" s="2"/>
      <c r="K75" s="2"/>
    </row>
    <row r="76" ht="28.5" customHeight="1" spans="1:11">
      <c r="A76" s="19">
        <v>70</v>
      </c>
      <c r="B76" s="37" t="s">
        <v>457</v>
      </c>
      <c r="C76" s="38" t="s">
        <v>316</v>
      </c>
      <c r="D76" s="19">
        <v>50000</v>
      </c>
      <c r="E76" s="38">
        <v>49725</v>
      </c>
      <c r="F76" s="187" t="s">
        <v>458</v>
      </c>
      <c r="G76" s="2">
        <f t="shared" si="1"/>
        <v>24863</v>
      </c>
      <c r="H76" s="2"/>
      <c r="I76" s="2"/>
      <c r="J76" s="2"/>
      <c r="K76" s="2"/>
    </row>
    <row r="77" ht="28.5" customHeight="1" spans="1:11">
      <c r="A77" s="7">
        <v>71</v>
      </c>
      <c r="B77" s="8" t="s">
        <v>459</v>
      </c>
      <c r="C77" s="9" t="s">
        <v>316</v>
      </c>
      <c r="D77" s="7">
        <v>90000</v>
      </c>
      <c r="E77" s="9">
        <v>89725</v>
      </c>
      <c r="F77" s="7"/>
      <c r="G77" s="10">
        <f t="shared" si="1"/>
        <v>44863</v>
      </c>
      <c r="H77" s="10"/>
      <c r="I77" s="10"/>
      <c r="J77" s="10"/>
      <c r="K77" s="10"/>
    </row>
    <row r="78" ht="28.5" customHeight="1" spans="1:11">
      <c r="A78" s="19">
        <v>72</v>
      </c>
      <c r="B78" s="37" t="s">
        <v>460</v>
      </c>
      <c r="C78" s="38" t="s">
        <v>316</v>
      </c>
      <c r="D78" s="19">
        <v>75000</v>
      </c>
      <c r="E78" s="38">
        <v>74725</v>
      </c>
      <c r="F78" s="187" t="s">
        <v>461</v>
      </c>
      <c r="G78" s="2">
        <f t="shared" si="1"/>
        <v>37363</v>
      </c>
      <c r="H78" s="2"/>
      <c r="I78" s="2"/>
      <c r="J78" s="2"/>
      <c r="K78" s="2"/>
    </row>
    <row r="79" ht="28.5" customHeight="1" spans="1:11">
      <c r="A79" s="19">
        <v>73</v>
      </c>
      <c r="B79" s="37" t="s">
        <v>462</v>
      </c>
      <c r="C79" s="38" t="s">
        <v>316</v>
      </c>
      <c r="D79" s="19">
        <v>50000</v>
      </c>
      <c r="E79" s="38">
        <v>49725</v>
      </c>
      <c r="F79" s="187" t="s">
        <v>463</v>
      </c>
      <c r="G79" s="2">
        <f t="shared" si="1"/>
        <v>24863</v>
      </c>
      <c r="H79" s="2"/>
      <c r="I79" s="2"/>
      <c r="J79" s="2"/>
      <c r="K79" s="2"/>
    </row>
    <row r="80" ht="28.5" customHeight="1" spans="1:11">
      <c r="A80" s="19">
        <v>74</v>
      </c>
      <c r="B80" s="37" t="s">
        <v>464</v>
      </c>
      <c r="C80" s="38" t="s">
        <v>321</v>
      </c>
      <c r="D80" s="19">
        <v>17000</v>
      </c>
      <c r="E80" s="38">
        <v>20725</v>
      </c>
      <c r="F80" s="187" t="s">
        <v>465</v>
      </c>
      <c r="G80" s="2">
        <f t="shared" si="1"/>
        <v>10363</v>
      </c>
      <c r="H80" s="2"/>
      <c r="I80" s="2"/>
      <c r="J80" s="2"/>
      <c r="K80" s="2"/>
    </row>
    <row r="81" ht="28.5" customHeight="1" spans="1:11">
      <c r="A81" s="23">
        <v>75</v>
      </c>
      <c r="B81" s="34" t="s">
        <v>466</v>
      </c>
      <c r="C81" s="25" t="s">
        <v>321</v>
      </c>
      <c r="D81" s="23">
        <v>24000</v>
      </c>
      <c r="E81" s="25">
        <v>23725</v>
      </c>
      <c r="F81" s="189" t="s">
        <v>467</v>
      </c>
      <c r="G81" s="27">
        <f t="shared" si="1"/>
        <v>11863</v>
      </c>
      <c r="H81" s="27"/>
      <c r="I81" s="27"/>
      <c r="J81" s="27"/>
      <c r="K81" s="27"/>
    </row>
    <row r="82" ht="28.5" customHeight="1" spans="1:11">
      <c r="A82" s="19">
        <v>76</v>
      </c>
      <c r="B82" s="37" t="s">
        <v>468</v>
      </c>
      <c r="C82" s="38" t="s">
        <v>321</v>
      </c>
      <c r="D82" s="19">
        <v>30000</v>
      </c>
      <c r="E82" s="38">
        <v>29725</v>
      </c>
      <c r="F82" s="187" t="s">
        <v>469</v>
      </c>
      <c r="G82" s="2">
        <f t="shared" si="1"/>
        <v>14863</v>
      </c>
      <c r="H82" s="2"/>
      <c r="I82" s="2"/>
      <c r="J82" s="2"/>
      <c r="K82" s="2"/>
    </row>
    <row r="83" ht="28.5" customHeight="1" spans="1:11">
      <c r="A83" s="19">
        <v>77</v>
      </c>
      <c r="B83" s="37" t="s">
        <v>470</v>
      </c>
      <c r="C83" s="38" t="s">
        <v>321</v>
      </c>
      <c r="D83" s="19">
        <v>32000</v>
      </c>
      <c r="E83" s="38">
        <v>31725</v>
      </c>
      <c r="F83" s="187" t="s">
        <v>471</v>
      </c>
      <c r="G83" s="2">
        <f t="shared" si="1"/>
        <v>15863</v>
      </c>
      <c r="H83" s="2"/>
      <c r="I83" s="2"/>
      <c r="J83" s="2"/>
      <c r="K83" s="2"/>
    </row>
    <row r="84" ht="28.5" customHeight="1" spans="1:11">
      <c r="A84" s="12">
        <v>78</v>
      </c>
      <c r="B84" s="13" t="s">
        <v>472</v>
      </c>
      <c r="C84" s="14" t="s">
        <v>321</v>
      </c>
      <c r="D84" s="12">
        <v>35000</v>
      </c>
      <c r="E84" s="14">
        <v>34725</v>
      </c>
      <c r="F84" s="190" t="s">
        <v>473</v>
      </c>
      <c r="G84" s="15">
        <f t="shared" si="1"/>
        <v>17363</v>
      </c>
      <c r="H84" s="15"/>
      <c r="I84" s="15"/>
      <c r="J84" s="15"/>
      <c r="K84" s="15"/>
    </row>
    <row r="85" ht="28.5" customHeight="1" spans="1:11">
      <c r="A85" s="19">
        <v>79</v>
      </c>
      <c r="B85" s="37" t="s">
        <v>474</v>
      </c>
      <c r="C85" s="38" t="s">
        <v>321</v>
      </c>
      <c r="D85" s="19">
        <v>35000</v>
      </c>
      <c r="E85" s="38">
        <v>34725</v>
      </c>
      <c r="F85" s="187" t="s">
        <v>475</v>
      </c>
      <c r="G85" s="2">
        <f t="shared" si="1"/>
        <v>17363</v>
      </c>
      <c r="H85" s="2"/>
      <c r="I85" s="2"/>
      <c r="J85" s="2"/>
      <c r="K85" s="2"/>
    </row>
    <row r="86" ht="28.5" customHeight="1" spans="1:11">
      <c r="A86" s="19">
        <v>80</v>
      </c>
      <c r="B86" s="37" t="s">
        <v>476</v>
      </c>
      <c r="C86" s="38" t="s">
        <v>477</v>
      </c>
      <c r="D86" s="19">
        <v>52000</v>
      </c>
      <c r="E86" s="38">
        <v>51770</v>
      </c>
      <c r="F86" s="187" t="s">
        <v>478</v>
      </c>
      <c r="G86" s="2">
        <f t="shared" si="1"/>
        <v>25885</v>
      </c>
      <c r="H86" s="2"/>
      <c r="I86" s="2"/>
      <c r="J86" s="2"/>
      <c r="K86" s="2"/>
    </row>
    <row r="87" ht="28.5" customHeight="1" spans="1:11">
      <c r="A87" s="19">
        <v>81</v>
      </c>
      <c r="B87" s="37" t="s">
        <v>479</v>
      </c>
      <c r="C87" s="38" t="s">
        <v>321</v>
      </c>
      <c r="D87" s="19">
        <v>29000</v>
      </c>
      <c r="E87" s="38">
        <v>28770</v>
      </c>
      <c r="F87" s="187" t="s">
        <v>480</v>
      </c>
      <c r="G87" s="2">
        <f t="shared" si="1"/>
        <v>14385</v>
      </c>
      <c r="H87" s="2"/>
      <c r="I87" s="2"/>
      <c r="J87" s="2"/>
      <c r="K87" s="2"/>
    </row>
    <row r="88" ht="28.5" customHeight="1" spans="1:11">
      <c r="A88" s="19">
        <v>82</v>
      </c>
      <c r="B88" s="37" t="s">
        <v>481</v>
      </c>
      <c r="C88" s="38" t="s">
        <v>321</v>
      </c>
      <c r="D88" s="19">
        <v>15000</v>
      </c>
      <c r="E88" s="38">
        <v>14970</v>
      </c>
      <c r="F88" s="187" t="s">
        <v>482</v>
      </c>
      <c r="G88" s="2">
        <f t="shared" si="1"/>
        <v>7485</v>
      </c>
      <c r="H88" s="2"/>
      <c r="I88" s="2"/>
      <c r="J88" s="2"/>
      <c r="K88" s="2"/>
    </row>
    <row r="89" ht="28.5" customHeight="1" spans="1:11">
      <c r="A89" s="19">
        <v>83</v>
      </c>
      <c r="B89" s="37" t="s">
        <v>483</v>
      </c>
      <c r="C89" s="38" t="s">
        <v>321</v>
      </c>
      <c r="D89" s="19">
        <v>50000</v>
      </c>
      <c r="E89" s="38">
        <v>49770</v>
      </c>
      <c r="F89" s="187" t="s">
        <v>484</v>
      </c>
      <c r="G89" s="2">
        <f t="shared" si="1"/>
        <v>24885</v>
      </c>
      <c r="H89" s="2"/>
      <c r="I89" s="2"/>
      <c r="J89" s="2"/>
      <c r="K89" s="2"/>
    </row>
    <row r="90" ht="28.5" customHeight="1" spans="1:11">
      <c r="A90" s="19">
        <v>84</v>
      </c>
      <c r="B90" s="37" t="s">
        <v>485</v>
      </c>
      <c r="C90" s="38" t="s">
        <v>321</v>
      </c>
      <c r="D90" s="19">
        <v>16000</v>
      </c>
      <c r="E90" s="38">
        <v>15820</v>
      </c>
      <c r="F90" s="187" t="s">
        <v>486</v>
      </c>
      <c r="G90" s="2">
        <f t="shared" si="1"/>
        <v>7910</v>
      </c>
      <c r="H90" s="2"/>
      <c r="I90" s="2"/>
      <c r="J90" s="2"/>
      <c r="K90" s="2"/>
    </row>
    <row r="91" ht="28.5" customHeight="1" spans="1:11">
      <c r="A91" s="19">
        <v>85</v>
      </c>
      <c r="B91" s="37" t="s">
        <v>487</v>
      </c>
      <c r="C91" s="38" t="s">
        <v>321</v>
      </c>
      <c r="D91" s="19">
        <v>12000</v>
      </c>
      <c r="E91" s="38">
        <v>11925</v>
      </c>
      <c r="F91" s="187" t="s">
        <v>488</v>
      </c>
      <c r="G91" s="2">
        <f t="shared" si="1"/>
        <v>5963</v>
      </c>
      <c r="H91" s="2"/>
      <c r="I91" s="2"/>
      <c r="J91" s="2"/>
      <c r="K91" s="2"/>
    </row>
    <row r="92" ht="28.5" customHeight="1" spans="1:11">
      <c r="A92" s="7">
        <v>86</v>
      </c>
      <c r="B92" s="8" t="s">
        <v>489</v>
      </c>
      <c r="C92" s="9" t="s">
        <v>321</v>
      </c>
      <c r="D92" s="7">
        <v>65000</v>
      </c>
      <c r="E92" s="9">
        <v>64725</v>
      </c>
      <c r="F92" s="188" t="s">
        <v>490</v>
      </c>
      <c r="G92" s="10">
        <f t="shared" si="1"/>
        <v>32363</v>
      </c>
      <c r="H92" s="10"/>
      <c r="I92" s="10"/>
      <c r="J92" s="10"/>
      <c r="K92" s="10"/>
    </row>
    <row r="93" ht="28.5" customHeight="1" spans="1:11">
      <c r="A93" s="23">
        <v>87</v>
      </c>
      <c r="B93" s="34" t="s">
        <v>491</v>
      </c>
      <c r="C93" s="25" t="s">
        <v>377</v>
      </c>
      <c r="D93" s="23">
        <v>50000</v>
      </c>
      <c r="E93" s="25">
        <v>49725</v>
      </c>
      <c r="F93" s="189" t="s">
        <v>492</v>
      </c>
      <c r="G93" s="27">
        <f t="shared" si="1"/>
        <v>24863</v>
      </c>
      <c r="H93" s="27"/>
      <c r="I93" s="27"/>
      <c r="J93" s="27"/>
      <c r="K93" s="27"/>
    </row>
    <row r="94" ht="28.5" customHeight="1" spans="1:11">
      <c r="A94" s="19">
        <v>88</v>
      </c>
      <c r="B94" s="37" t="s">
        <v>493</v>
      </c>
      <c r="C94" s="38" t="s">
        <v>372</v>
      </c>
      <c r="D94" s="19">
        <v>65000</v>
      </c>
      <c r="E94" s="38">
        <v>64725</v>
      </c>
      <c r="F94" s="187" t="s">
        <v>494</v>
      </c>
      <c r="G94" s="2">
        <f t="shared" si="1"/>
        <v>32363</v>
      </c>
      <c r="H94" s="2"/>
      <c r="I94" s="2"/>
      <c r="J94" s="2"/>
      <c r="K94" s="2"/>
    </row>
    <row r="95" ht="28.5" customHeight="1" spans="1:11">
      <c r="A95" s="19">
        <v>89</v>
      </c>
      <c r="B95" s="37" t="s">
        <v>495</v>
      </c>
      <c r="C95" s="38" t="s">
        <v>424</v>
      </c>
      <c r="D95" s="19">
        <v>35000</v>
      </c>
      <c r="E95" s="38">
        <v>34725</v>
      </c>
      <c r="F95" s="187" t="s">
        <v>496</v>
      </c>
      <c r="G95" s="2">
        <f t="shared" si="1"/>
        <v>17363</v>
      </c>
      <c r="H95" s="2"/>
      <c r="I95" s="2"/>
      <c r="J95" s="2"/>
      <c r="K95" s="2"/>
    </row>
    <row r="96" ht="28.5" customHeight="1" spans="1:11">
      <c r="A96" s="19">
        <v>90</v>
      </c>
      <c r="B96" s="37" t="s">
        <v>497</v>
      </c>
      <c r="C96" s="38" t="s">
        <v>424</v>
      </c>
      <c r="D96" s="19">
        <v>45000</v>
      </c>
      <c r="E96" s="38">
        <v>44725</v>
      </c>
      <c r="F96" s="187" t="s">
        <v>498</v>
      </c>
      <c r="G96" s="2">
        <f t="shared" si="1"/>
        <v>22363</v>
      </c>
      <c r="H96" s="2"/>
      <c r="I96" s="2"/>
      <c r="J96" s="2"/>
      <c r="K96" s="2"/>
    </row>
    <row r="97" ht="28.5" customHeight="1" spans="1:11">
      <c r="A97" s="19">
        <v>91</v>
      </c>
      <c r="B97" s="37" t="s">
        <v>499</v>
      </c>
      <c r="C97" s="38" t="s">
        <v>424</v>
      </c>
      <c r="D97" s="19">
        <v>35000</v>
      </c>
      <c r="E97" s="38">
        <v>34725</v>
      </c>
      <c r="F97" s="187" t="s">
        <v>500</v>
      </c>
      <c r="G97" s="2">
        <f t="shared" si="1"/>
        <v>17363</v>
      </c>
      <c r="H97" s="2"/>
      <c r="I97" s="2"/>
      <c r="J97" s="2"/>
      <c r="K97" s="2"/>
    </row>
    <row r="98" ht="28.5" customHeight="1" spans="1:11">
      <c r="A98" s="12">
        <v>92</v>
      </c>
      <c r="B98" s="13" t="s">
        <v>501</v>
      </c>
      <c r="C98" s="14" t="s">
        <v>424</v>
      </c>
      <c r="D98" s="12">
        <v>36000</v>
      </c>
      <c r="E98" s="14">
        <v>35725</v>
      </c>
      <c r="F98" s="190" t="s">
        <v>502</v>
      </c>
      <c r="G98" s="15">
        <f t="shared" si="1"/>
        <v>17863</v>
      </c>
      <c r="H98" s="15"/>
      <c r="I98" s="15"/>
      <c r="J98" s="15"/>
      <c r="K98" s="15"/>
    </row>
    <row r="99" ht="28.5" customHeight="1" spans="1:11">
      <c r="A99" s="12">
        <v>93</v>
      </c>
      <c r="B99" s="13" t="s">
        <v>503</v>
      </c>
      <c r="C99" s="14" t="s">
        <v>424</v>
      </c>
      <c r="D99" s="12">
        <v>35000</v>
      </c>
      <c r="E99" s="14">
        <v>34725</v>
      </c>
      <c r="F99" s="190" t="s">
        <v>504</v>
      </c>
      <c r="G99" s="15">
        <f t="shared" si="1"/>
        <v>17363</v>
      </c>
      <c r="H99" s="15"/>
      <c r="I99" s="15"/>
      <c r="J99" s="15"/>
      <c r="K99" s="15"/>
    </row>
    <row r="100" ht="28.5" customHeight="1" spans="1:11">
      <c r="A100" s="19">
        <v>94</v>
      </c>
      <c r="B100" s="37" t="s">
        <v>505</v>
      </c>
      <c r="C100" s="38" t="s">
        <v>424</v>
      </c>
      <c r="D100" s="19">
        <v>50000</v>
      </c>
      <c r="E100" s="38">
        <v>49725</v>
      </c>
      <c r="F100" s="187" t="s">
        <v>506</v>
      </c>
      <c r="G100" s="2">
        <f t="shared" si="1"/>
        <v>24863</v>
      </c>
      <c r="H100" s="2"/>
      <c r="I100" s="2"/>
      <c r="J100" s="2"/>
      <c r="K100" s="2"/>
    </row>
    <row r="101" ht="28.5" customHeight="1" spans="1:11">
      <c r="A101" s="19">
        <v>95</v>
      </c>
      <c r="B101" s="37" t="s">
        <v>507</v>
      </c>
      <c r="C101" s="38" t="s">
        <v>453</v>
      </c>
      <c r="D101" s="19">
        <v>75085</v>
      </c>
      <c r="E101" s="38">
        <v>74810</v>
      </c>
      <c r="F101" s="187" t="s">
        <v>508</v>
      </c>
      <c r="G101" s="2">
        <f t="shared" si="1"/>
        <v>37405</v>
      </c>
      <c r="H101" s="2"/>
      <c r="I101" s="2"/>
      <c r="J101" s="2"/>
      <c r="K101" s="2"/>
    </row>
    <row r="102" ht="28.5" customHeight="1" spans="1:11">
      <c r="A102" s="19">
        <v>96</v>
      </c>
      <c r="B102" s="37" t="s">
        <v>509</v>
      </c>
      <c r="C102" s="38" t="s">
        <v>510</v>
      </c>
      <c r="D102" s="19">
        <v>35000</v>
      </c>
      <c r="E102" s="38">
        <v>34725</v>
      </c>
      <c r="F102" s="187" t="s">
        <v>511</v>
      </c>
      <c r="G102" s="2">
        <f t="shared" si="1"/>
        <v>17363</v>
      </c>
      <c r="H102" s="2"/>
      <c r="I102" s="2"/>
      <c r="J102" s="2"/>
      <c r="K102" s="2"/>
    </row>
    <row r="103" ht="28.5" customHeight="1" spans="1:11">
      <c r="A103" s="19">
        <v>97</v>
      </c>
      <c r="B103" s="37" t="s">
        <v>512</v>
      </c>
      <c r="C103" s="38" t="s">
        <v>321</v>
      </c>
      <c r="D103" s="19">
        <v>20000</v>
      </c>
      <c r="E103" s="38">
        <v>19775</v>
      </c>
      <c r="F103" s="187" t="s">
        <v>513</v>
      </c>
      <c r="G103" s="2">
        <f t="shared" si="1"/>
        <v>9888</v>
      </c>
      <c r="H103" s="2"/>
      <c r="I103" s="2"/>
      <c r="J103" s="2"/>
      <c r="K103" s="2"/>
    </row>
    <row r="104" ht="28.5" customHeight="1" spans="1:11">
      <c r="A104" s="23">
        <v>98</v>
      </c>
      <c r="B104" s="34" t="s">
        <v>514</v>
      </c>
      <c r="C104" s="25" t="s">
        <v>321</v>
      </c>
      <c r="D104" s="23">
        <v>23000</v>
      </c>
      <c r="E104" s="25">
        <v>22770</v>
      </c>
      <c r="F104" s="189" t="s">
        <v>515</v>
      </c>
      <c r="G104" s="27">
        <f t="shared" si="1"/>
        <v>11385</v>
      </c>
      <c r="H104" s="27"/>
      <c r="I104" s="27"/>
      <c r="J104" s="27"/>
      <c r="K104" s="27"/>
    </row>
    <row r="105" ht="28.5" customHeight="1" spans="1:11">
      <c r="A105" s="23">
        <v>99</v>
      </c>
      <c r="B105" s="34" t="s">
        <v>516</v>
      </c>
      <c r="C105" s="25" t="s">
        <v>321</v>
      </c>
      <c r="D105" s="23">
        <v>37000</v>
      </c>
      <c r="E105" s="25">
        <v>36725</v>
      </c>
      <c r="F105" s="189" t="s">
        <v>517</v>
      </c>
      <c r="G105" s="27">
        <f t="shared" si="1"/>
        <v>18363</v>
      </c>
      <c r="H105" s="27"/>
      <c r="I105" s="27"/>
      <c r="J105" s="27"/>
      <c r="K105" s="27"/>
    </row>
    <row r="106" ht="28.5" customHeight="1" spans="1:11">
      <c r="A106" s="23"/>
      <c r="B106" s="34"/>
      <c r="C106" s="25"/>
      <c r="D106" s="23"/>
      <c r="E106" s="25"/>
      <c r="F106" s="23"/>
      <c r="G106" s="27"/>
      <c r="H106" s="27"/>
      <c r="I106" s="27"/>
      <c r="J106" s="27"/>
      <c r="K106" s="27"/>
    </row>
    <row r="107" ht="28.5" customHeight="1" spans="1:11">
      <c r="A107" s="19">
        <v>100</v>
      </c>
      <c r="B107" s="37" t="s">
        <v>518</v>
      </c>
      <c r="C107" s="38" t="s">
        <v>519</v>
      </c>
      <c r="D107" s="38">
        <v>74994</v>
      </c>
      <c r="E107" s="38">
        <v>71119</v>
      </c>
      <c r="F107" s="187" t="s">
        <v>520</v>
      </c>
      <c r="G107" s="2">
        <f t="shared" ref="G107:G159" si="2">ROUND(E107/2,0)</f>
        <v>35560</v>
      </c>
      <c r="H107" s="2"/>
      <c r="I107" s="2"/>
      <c r="J107" s="2"/>
      <c r="K107" s="2"/>
    </row>
    <row r="108" ht="28.5" customHeight="1" spans="1:11">
      <c r="A108" s="19">
        <v>101</v>
      </c>
      <c r="B108" s="37" t="s">
        <v>521</v>
      </c>
      <c r="C108" s="38" t="s">
        <v>316</v>
      </c>
      <c r="D108" s="19">
        <v>32905</v>
      </c>
      <c r="E108" s="38">
        <v>32630</v>
      </c>
      <c r="F108" s="187" t="s">
        <v>522</v>
      </c>
      <c r="G108" s="2">
        <f t="shared" si="2"/>
        <v>16315</v>
      </c>
      <c r="H108" s="2"/>
      <c r="I108" s="2"/>
      <c r="J108" s="2"/>
      <c r="K108" s="2"/>
    </row>
    <row r="109" ht="28.5" customHeight="1" spans="1:11">
      <c r="A109" s="19">
        <v>102</v>
      </c>
      <c r="B109" s="37" t="s">
        <v>523</v>
      </c>
      <c r="C109" s="38" t="s">
        <v>316</v>
      </c>
      <c r="D109" s="19">
        <v>32905</v>
      </c>
      <c r="E109" s="38">
        <v>32630</v>
      </c>
      <c r="F109" s="187" t="s">
        <v>524</v>
      </c>
      <c r="G109" s="2">
        <f t="shared" si="2"/>
        <v>16315</v>
      </c>
      <c r="H109" s="2"/>
      <c r="I109" s="2"/>
      <c r="J109" s="2"/>
      <c r="K109" s="2"/>
    </row>
    <row r="110" ht="28.5" customHeight="1" spans="1:11">
      <c r="A110" s="19">
        <v>103</v>
      </c>
      <c r="B110" s="37" t="s">
        <v>525</v>
      </c>
      <c r="C110" s="38" t="s">
        <v>321</v>
      </c>
      <c r="D110" s="19">
        <v>50000</v>
      </c>
      <c r="E110" s="38">
        <v>49725</v>
      </c>
      <c r="F110" s="187" t="s">
        <v>526</v>
      </c>
      <c r="G110" s="2">
        <f t="shared" si="2"/>
        <v>24863</v>
      </c>
      <c r="H110" s="2"/>
      <c r="I110" s="2"/>
      <c r="J110" s="2"/>
      <c r="K110" s="2"/>
    </row>
    <row r="111" ht="28.5" customHeight="1" spans="1:11">
      <c r="A111" s="19">
        <v>104</v>
      </c>
      <c r="B111" s="37" t="s">
        <v>527</v>
      </c>
      <c r="C111" s="38" t="s">
        <v>321</v>
      </c>
      <c r="D111" s="19">
        <v>35000</v>
      </c>
      <c r="E111" s="38">
        <v>34725</v>
      </c>
      <c r="F111" s="187" t="s">
        <v>528</v>
      </c>
      <c r="G111" s="2">
        <f t="shared" si="2"/>
        <v>17363</v>
      </c>
      <c r="H111" s="2"/>
      <c r="I111" s="2"/>
      <c r="J111" s="2"/>
      <c r="K111" s="2"/>
    </row>
    <row r="112" ht="28.5" customHeight="1" spans="1:11">
      <c r="A112" s="19">
        <v>105</v>
      </c>
      <c r="B112" s="37" t="s">
        <v>529</v>
      </c>
      <c r="C112" s="38" t="s">
        <v>321</v>
      </c>
      <c r="D112" s="19">
        <v>23460</v>
      </c>
      <c r="E112" s="38">
        <v>19585</v>
      </c>
      <c r="F112" s="187" t="s">
        <v>530</v>
      </c>
      <c r="G112" s="2">
        <f t="shared" si="2"/>
        <v>9793</v>
      </c>
      <c r="H112" s="2"/>
      <c r="I112" s="2"/>
      <c r="J112" s="2"/>
      <c r="K112" s="2"/>
    </row>
    <row r="113" ht="28.5" customHeight="1" spans="1:11">
      <c r="A113" s="19">
        <v>106</v>
      </c>
      <c r="B113" s="37" t="s">
        <v>531</v>
      </c>
      <c r="C113" s="38" t="s">
        <v>321</v>
      </c>
      <c r="D113" s="19">
        <v>35000</v>
      </c>
      <c r="E113" s="38">
        <v>34725</v>
      </c>
      <c r="F113" s="187" t="s">
        <v>532</v>
      </c>
      <c r="G113" s="2">
        <f t="shared" si="2"/>
        <v>17363</v>
      </c>
      <c r="H113" s="2"/>
      <c r="I113" s="2"/>
      <c r="J113" s="2"/>
      <c r="K113" s="2"/>
    </row>
    <row r="114" ht="28.5" customHeight="1" spans="1:11">
      <c r="A114" s="19">
        <v>107</v>
      </c>
      <c r="B114" s="37" t="s">
        <v>533</v>
      </c>
      <c r="C114" s="38" t="s">
        <v>534</v>
      </c>
      <c r="D114" s="38">
        <v>110277</v>
      </c>
      <c r="E114" s="38">
        <v>106402</v>
      </c>
      <c r="F114" s="187" t="s">
        <v>535</v>
      </c>
      <c r="G114" s="2">
        <f t="shared" si="2"/>
        <v>53201</v>
      </c>
      <c r="H114" s="2"/>
      <c r="I114" s="2"/>
      <c r="J114" s="2"/>
      <c r="K114" s="2"/>
    </row>
    <row r="115" ht="28.5" customHeight="1" spans="1:11">
      <c r="A115" s="19">
        <v>108</v>
      </c>
      <c r="B115" s="37" t="s">
        <v>536</v>
      </c>
      <c r="C115" s="38" t="s">
        <v>537</v>
      </c>
      <c r="D115" s="19">
        <v>54103</v>
      </c>
      <c r="E115" s="38">
        <v>53962</v>
      </c>
      <c r="F115" s="187" t="s">
        <v>538</v>
      </c>
      <c r="G115" s="2">
        <f t="shared" si="2"/>
        <v>26981</v>
      </c>
      <c r="H115" s="2"/>
      <c r="I115" s="2"/>
      <c r="J115" s="2"/>
      <c r="K115" s="2"/>
    </row>
    <row r="116" ht="28.5" customHeight="1" spans="1:11">
      <c r="A116" s="19">
        <v>109</v>
      </c>
      <c r="B116" s="37" t="s">
        <v>539</v>
      </c>
      <c r="C116" s="38" t="s">
        <v>316</v>
      </c>
      <c r="D116" s="19">
        <v>42275</v>
      </c>
      <c r="E116" s="38">
        <v>42000</v>
      </c>
      <c r="F116" s="187" t="s">
        <v>540</v>
      </c>
      <c r="G116" s="2">
        <f t="shared" si="2"/>
        <v>21000</v>
      </c>
      <c r="H116" s="2"/>
      <c r="I116" s="2"/>
      <c r="J116" s="2"/>
      <c r="K116" s="2"/>
    </row>
    <row r="117" ht="28.5" customHeight="1" spans="1:11">
      <c r="A117" s="19">
        <v>110</v>
      </c>
      <c r="B117" s="37" t="s">
        <v>541</v>
      </c>
      <c r="C117" s="38" t="s">
        <v>542</v>
      </c>
      <c r="D117" s="19">
        <v>75085</v>
      </c>
      <c r="E117" s="38">
        <v>71210</v>
      </c>
      <c r="F117" s="187" t="s">
        <v>543</v>
      </c>
      <c r="G117" s="2">
        <f t="shared" si="2"/>
        <v>35605</v>
      </c>
      <c r="H117" s="2"/>
      <c r="I117" s="2"/>
      <c r="J117" s="2"/>
      <c r="K117" s="2"/>
    </row>
    <row r="118" ht="28.5" customHeight="1" spans="1:11">
      <c r="A118" s="19">
        <v>111</v>
      </c>
      <c r="B118" s="37" t="s">
        <v>544</v>
      </c>
      <c r="C118" s="38" t="s">
        <v>545</v>
      </c>
      <c r="D118" s="19">
        <v>170000</v>
      </c>
      <c r="E118" s="38">
        <v>169725</v>
      </c>
      <c r="F118" s="187" t="s">
        <v>546</v>
      </c>
      <c r="G118" s="2">
        <f t="shared" si="2"/>
        <v>84863</v>
      </c>
      <c r="H118" s="2"/>
      <c r="I118" s="2"/>
      <c r="J118" s="2"/>
      <c r="K118" s="2"/>
    </row>
    <row r="119" ht="28.5" customHeight="1" spans="1:11">
      <c r="A119" s="19">
        <v>112</v>
      </c>
      <c r="B119" s="37" t="s">
        <v>547</v>
      </c>
      <c r="C119" s="38" t="s">
        <v>321</v>
      </c>
      <c r="D119" s="19">
        <v>24460</v>
      </c>
      <c r="E119" s="38">
        <v>24185</v>
      </c>
      <c r="F119" s="187" t="s">
        <v>548</v>
      </c>
      <c r="G119" s="2">
        <f t="shared" si="2"/>
        <v>12093</v>
      </c>
      <c r="H119" s="2"/>
      <c r="I119" s="2"/>
      <c r="J119" s="2"/>
      <c r="K119" s="2"/>
    </row>
    <row r="120" ht="28.5" customHeight="1" spans="1:11">
      <c r="A120" s="19">
        <v>113</v>
      </c>
      <c r="B120" s="21" t="s">
        <v>549</v>
      </c>
      <c r="C120" s="38" t="s">
        <v>321</v>
      </c>
      <c r="D120" s="19">
        <v>23460</v>
      </c>
      <c r="E120" s="38">
        <v>23185</v>
      </c>
      <c r="F120" s="187" t="s">
        <v>550</v>
      </c>
      <c r="G120" s="2">
        <f t="shared" si="2"/>
        <v>11593</v>
      </c>
      <c r="H120" s="2"/>
      <c r="I120" s="2"/>
      <c r="J120" s="2"/>
      <c r="K120" s="2"/>
    </row>
    <row r="121" ht="28.5" customHeight="1" spans="1:11">
      <c r="A121" s="19">
        <v>114</v>
      </c>
      <c r="B121" s="37" t="s">
        <v>551</v>
      </c>
      <c r="C121" s="38" t="s">
        <v>321</v>
      </c>
      <c r="D121" s="19">
        <v>39632</v>
      </c>
      <c r="E121" s="38">
        <v>40020</v>
      </c>
      <c r="F121" s="187" t="s">
        <v>552</v>
      </c>
      <c r="G121" s="2">
        <f t="shared" si="2"/>
        <v>20010</v>
      </c>
      <c r="H121" s="2"/>
      <c r="I121" s="2"/>
      <c r="J121" s="2"/>
      <c r="K121" s="2"/>
    </row>
    <row r="122" ht="28.5" customHeight="1" spans="1:11">
      <c r="A122" s="19">
        <v>115</v>
      </c>
      <c r="B122" s="37" t="s">
        <v>553</v>
      </c>
      <c r="C122" s="38" t="s">
        <v>321</v>
      </c>
      <c r="D122" s="19">
        <v>20460</v>
      </c>
      <c r="E122" s="38">
        <v>20185</v>
      </c>
      <c r="F122" s="187" t="s">
        <v>554</v>
      </c>
      <c r="G122" s="2">
        <f t="shared" si="2"/>
        <v>10093</v>
      </c>
      <c r="H122" s="2"/>
      <c r="I122" s="2"/>
      <c r="J122" s="2"/>
      <c r="K122" s="2"/>
    </row>
    <row r="123" ht="28.5" customHeight="1" spans="1:11">
      <c r="A123" s="19">
        <v>116</v>
      </c>
      <c r="B123" s="37" t="s">
        <v>555</v>
      </c>
      <c r="C123" s="38" t="s">
        <v>321</v>
      </c>
      <c r="D123" s="19">
        <v>18260</v>
      </c>
      <c r="E123" s="38">
        <v>18035</v>
      </c>
      <c r="F123" s="187" t="s">
        <v>556</v>
      </c>
      <c r="G123" s="2">
        <f t="shared" si="2"/>
        <v>9018</v>
      </c>
      <c r="H123" s="2"/>
      <c r="I123" s="2"/>
      <c r="J123" s="2"/>
      <c r="K123" s="2"/>
    </row>
    <row r="124" ht="28.5" customHeight="1" spans="1:11">
      <c r="A124" s="19">
        <v>117</v>
      </c>
      <c r="B124" s="37" t="s">
        <v>557</v>
      </c>
      <c r="C124" s="38" t="s">
        <v>321</v>
      </c>
      <c r="D124" s="19">
        <v>25000</v>
      </c>
      <c r="E124" s="19">
        <v>24725</v>
      </c>
      <c r="F124" s="187" t="s">
        <v>558</v>
      </c>
      <c r="G124" s="2">
        <f t="shared" si="2"/>
        <v>12363</v>
      </c>
      <c r="H124" s="2"/>
      <c r="I124" s="2"/>
      <c r="J124" s="2"/>
      <c r="K124" s="2"/>
    </row>
    <row r="125" ht="28.5" customHeight="1" spans="1:11">
      <c r="A125" s="19">
        <v>118</v>
      </c>
      <c r="B125" s="37" t="s">
        <v>559</v>
      </c>
      <c r="C125" s="38" t="s">
        <v>321</v>
      </c>
      <c r="D125" s="19">
        <v>25000</v>
      </c>
      <c r="E125" s="19">
        <v>24725</v>
      </c>
      <c r="F125" s="187" t="s">
        <v>560</v>
      </c>
      <c r="G125" s="2">
        <f t="shared" si="2"/>
        <v>12363</v>
      </c>
      <c r="H125" s="2"/>
      <c r="I125" s="2"/>
      <c r="J125" s="2"/>
      <c r="K125" s="2"/>
    </row>
    <row r="126" ht="28.5" customHeight="1" spans="1:11">
      <c r="A126" s="19">
        <v>119</v>
      </c>
      <c r="B126" s="37" t="s">
        <v>561</v>
      </c>
      <c r="C126" s="38" t="s">
        <v>477</v>
      </c>
      <c r="D126" s="19">
        <v>52000</v>
      </c>
      <c r="E126" s="19">
        <v>51725</v>
      </c>
      <c r="F126" s="187" t="s">
        <v>562</v>
      </c>
      <c r="G126" s="2">
        <f t="shared" si="2"/>
        <v>25863</v>
      </c>
      <c r="H126" s="2"/>
      <c r="I126" s="2"/>
      <c r="J126" s="2"/>
      <c r="K126" s="2"/>
    </row>
    <row r="127" ht="28.5" customHeight="1" spans="1:11">
      <c r="A127" s="19">
        <v>120</v>
      </c>
      <c r="B127" s="37" t="s">
        <v>563</v>
      </c>
      <c r="C127" s="38" t="s">
        <v>321</v>
      </c>
      <c r="D127" s="19">
        <v>22000</v>
      </c>
      <c r="E127" s="38">
        <v>21770</v>
      </c>
      <c r="F127" s="187" t="s">
        <v>564</v>
      </c>
      <c r="G127" s="2">
        <f t="shared" si="2"/>
        <v>10885</v>
      </c>
      <c r="H127" s="2"/>
      <c r="I127" s="2"/>
      <c r="J127" s="2"/>
      <c r="K127" s="2"/>
    </row>
    <row r="128" ht="28.5" customHeight="1" spans="1:11">
      <c r="A128" s="12">
        <v>121</v>
      </c>
      <c r="B128" s="13" t="s">
        <v>565</v>
      </c>
      <c r="C128" s="14" t="s">
        <v>566</v>
      </c>
      <c r="D128" s="12">
        <v>15000</v>
      </c>
      <c r="E128" s="12">
        <v>15000</v>
      </c>
      <c r="F128" s="190" t="s">
        <v>567</v>
      </c>
      <c r="G128" s="15">
        <f t="shared" si="2"/>
        <v>7500</v>
      </c>
      <c r="H128" s="15"/>
      <c r="I128" s="15"/>
      <c r="J128" s="15"/>
      <c r="K128" s="15"/>
    </row>
    <row r="129" ht="28.5" customHeight="1" spans="1:11">
      <c r="A129" s="19">
        <v>122</v>
      </c>
      <c r="B129" s="37" t="s">
        <v>568</v>
      </c>
      <c r="C129" s="38" t="s">
        <v>316</v>
      </c>
      <c r="D129" s="19">
        <v>51516</v>
      </c>
      <c r="E129" s="38">
        <v>51241</v>
      </c>
      <c r="F129" s="187" t="s">
        <v>569</v>
      </c>
      <c r="G129" s="2">
        <f t="shared" si="2"/>
        <v>25621</v>
      </c>
      <c r="H129" s="2"/>
      <c r="I129" s="2"/>
      <c r="J129" s="2"/>
      <c r="K129" s="2"/>
    </row>
    <row r="130" ht="28.5" customHeight="1" spans="1:11">
      <c r="A130" s="19">
        <v>123</v>
      </c>
      <c r="B130" s="37" t="s">
        <v>570</v>
      </c>
      <c r="C130" s="38" t="s">
        <v>571</v>
      </c>
      <c r="D130" s="19">
        <v>62759</v>
      </c>
      <c r="E130" s="38">
        <v>58884</v>
      </c>
      <c r="F130" s="187" t="s">
        <v>572</v>
      </c>
      <c r="G130" s="2">
        <f t="shared" si="2"/>
        <v>29442</v>
      </c>
      <c r="H130" s="2"/>
      <c r="I130" s="2"/>
      <c r="J130" s="2"/>
      <c r="K130" s="2"/>
    </row>
    <row r="131" ht="28.5" customHeight="1" spans="1:11">
      <c r="A131" s="19">
        <v>124</v>
      </c>
      <c r="B131" s="37" t="s">
        <v>573</v>
      </c>
      <c r="C131" s="38" t="s">
        <v>316</v>
      </c>
      <c r="D131" s="38">
        <v>30000</v>
      </c>
      <c r="E131" s="38">
        <v>26125</v>
      </c>
      <c r="F131" s="187" t="s">
        <v>574</v>
      </c>
      <c r="G131" s="2">
        <f t="shared" si="2"/>
        <v>13063</v>
      </c>
      <c r="H131" s="2"/>
      <c r="I131" s="2"/>
      <c r="J131" s="2"/>
      <c r="K131" s="2"/>
    </row>
    <row r="132" ht="28.5" customHeight="1" spans="1:11">
      <c r="A132" s="19">
        <v>125</v>
      </c>
      <c r="B132" s="37" t="s">
        <v>575</v>
      </c>
      <c r="C132" s="38" t="s">
        <v>321</v>
      </c>
      <c r="D132" s="19">
        <v>35000</v>
      </c>
      <c r="E132" s="38">
        <v>34725</v>
      </c>
      <c r="F132" s="187" t="s">
        <v>576</v>
      </c>
      <c r="G132" s="2">
        <f t="shared" si="2"/>
        <v>17363</v>
      </c>
      <c r="H132" s="2"/>
      <c r="I132" s="2"/>
      <c r="J132" s="2"/>
      <c r="K132" s="2"/>
    </row>
    <row r="133" ht="28.5" customHeight="1" spans="1:11">
      <c r="A133" s="19">
        <v>126</v>
      </c>
      <c r="B133" s="37" t="s">
        <v>577</v>
      </c>
      <c r="C133" s="38" t="s">
        <v>372</v>
      </c>
      <c r="D133" s="19">
        <v>50000</v>
      </c>
      <c r="E133" s="38">
        <v>49725</v>
      </c>
      <c r="F133" s="187" t="s">
        <v>578</v>
      </c>
      <c r="G133" s="2">
        <f t="shared" si="2"/>
        <v>24863</v>
      </c>
      <c r="H133" s="2"/>
      <c r="I133" s="2"/>
      <c r="J133" s="2"/>
      <c r="K133" s="2"/>
    </row>
    <row r="134" ht="28.5" customHeight="1" spans="1:11">
      <c r="A134" s="19">
        <v>127</v>
      </c>
      <c r="B134" s="37" t="s">
        <v>579</v>
      </c>
      <c r="C134" s="38" t="s">
        <v>321</v>
      </c>
      <c r="D134" s="38">
        <v>30000</v>
      </c>
      <c r="E134" s="38">
        <v>29725</v>
      </c>
      <c r="F134" s="187" t="s">
        <v>580</v>
      </c>
      <c r="G134" s="2">
        <f t="shared" si="2"/>
        <v>14863</v>
      </c>
      <c r="H134" s="2"/>
      <c r="I134" s="2"/>
      <c r="J134" s="2"/>
      <c r="K134" s="2"/>
    </row>
    <row r="135" ht="28.5" customHeight="1" spans="1:11">
      <c r="A135" s="19">
        <v>128</v>
      </c>
      <c r="B135" s="37" t="s">
        <v>581</v>
      </c>
      <c r="C135" s="38" t="s">
        <v>321</v>
      </c>
      <c r="D135" s="19">
        <v>24460</v>
      </c>
      <c r="E135" s="38">
        <v>24185</v>
      </c>
      <c r="F135" s="187" t="s">
        <v>582</v>
      </c>
      <c r="G135" s="2">
        <f t="shared" si="2"/>
        <v>12093</v>
      </c>
      <c r="H135" s="2"/>
      <c r="I135" s="2"/>
      <c r="J135" s="2"/>
      <c r="K135" s="2"/>
    </row>
    <row r="136" ht="28.5" customHeight="1" spans="1:11">
      <c r="A136" s="19">
        <v>129</v>
      </c>
      <c r="B136" s="37" t="s">
        <v>583</v>
      </c>
      <c r="C136" s="38" t="s">
        <v>321</v>
      </c>
      <c r="D136" s="38">
        <v>23000</v>
      </c>
      <c r="E136" s="38">
        <v>22725</v>
      </c>
      <c r="F136" s="187" t="s">
        <v>584</v>
      </c>
      <c r="G136" s="2">
        <f t="shared" si="2"/>
        <v>11363</v>
      </c>
      <c r="H136" s="2"/>
      <c r="I136" s="2"/>
      <c r="J136" s="2"/>
      <c r="K136" s="2"/>
    </row>
    <row r="137" ht="28.5" customHeight="1" spans="1:11">
      <c r="A137" s="19">
        <v>130</v>
      </c>
      <c r="B137" s="37" t="s">
        <v>585</v>
      </c>
      <c r="C137" s="38" t="s">
        <v>321</v>
      </c>
      <c r="D137" s="19">
        <v>32460</v>
      </c>
      <c r="E137" s="38">
        <v>32185</v>
      </c>
      <c r="F137" s="187" t="s">
        <v>586</v>
      </c>
      <c r="G137" s="2">
        <f t="shared" si="2"/>
        <v>16093</v>
      </c>
      <c r="H137" s="2"/>
      <c r="I137" s="2"/>
      <c r="J137" s="2"/>
      <c r="K137" s="2"/>
    </row>
    <row r="138" ht="28.5" customHeight="1" spans="1:11">
      <c r="A138" s="19">
        <v>131</v>
      </c>
      <c r="B138" s="37" t="s">
        <v>587</v>
      </c>
      <c r="C138" s="38" t="s">
        <v>321</v>
      </c>
      <c r="D138" s="38">
        <v>22000</v>
      </c>
      <c r="E138" s="38">
        <v>21725</v>
      </c>
      <c r="F138" s="187" t="s">
        <v>588</v>
      </c>
      <c r="G138" s="2">
        <f t="shared" si="2"/>
        <v>10863</v>
      </c>
      <c r="H138" s="2"/>
      <c r="I138" s="2"/>
      <c r="J138" s="2"/>
      <c r="K138" s="2"/>
    </row>
    <row r="139" ht="28.5" customHeight="1" spans="1:11">
      <c r="A139" s="19">
        <v>132</v>
      </c>
      <c r="B139" s="37" t="s">
        <v>589</v>
      </c>
      <c r="C139" s="38" t="s">
        <v>321</v>
      </c>
      <c r="D139" s="19">
        <v>35000</v>
      </c>
      <c r="E139" s="38">
        <v>34725</v>
      </c>
      <c r="F139" s="187" t="s">
        <v>590</v>
      </c>
      <c r="G139" s="2">
        <f t="shared" si="2"/>
        <v>17363</v>
      </c>
      <c r="H139" s="2"/>
      <c r="I139" s="2"/>
      <c r="J139" s="2"/>
      <c r="K139" s="2"/>
    </row>
    <row r="140" ht="28.5" customHeight="1" spans="1:11">
      <c r="A140" s="19">
        <v>133</v>
      </c>
      <c r="B140" s="37" t="s">
        <v>591</v>
      </c>
      <c r="C140" s="38" t="s">
        <v>321</v>
      </c>
      <c r="D140" s="38">
        <v>30000</v>
      </c>
      <c r="E140" s="38">
        <v>29725</v>
      </c>
      <c r="F140" s="187" t="s">
        <v>592</v>
      </c>
      <c r="G140" s="2">
        <f t="shared" si="2"/>
        <v>14863</v>
      </c>
      <c r="H140" s="2"/>
      <c r="I140" s="2"/>
      <c r="J140" s="2"/>
      <c r="K140" s="2"/>
    </row>
    <row r="141" ht="28.5" customHeight="1" spans="1:11">
      <c r="A141" s="19">
        <v>134</v>
      </c>
      <c r="B141" s="37" t="s">
        <v>593</v>
      </c>
      <c r="C141" s="38" t="s">
        <v>321</v>
      </c>
      <c r="D141" s="38">
        <v>17500</v>
      </c>
      <c r="E141" s="38">
        <v>17275</v>
      </c>
      <c r="F141" s="187" t="s">
        <v>594</v>
      </c>
      <c r="G141" s="2">
        <f t="shared" si="2"/>
        <v>8638</v>
      </c>
      <c r="H141" s="2"/>
      <c r="I141" s="2"/>
      <c r="J141" s="2"/>
      <c r="K141" s="2"/>
    </row>
    <row r="142" ht="28.5" customHeight="1" spans="1:11">
      <c r="A142" s="19">
        <v>135</v>
      </c>
      <c r="B142" s="37" t="s">
        <v>595</v>
      </c>
      <c r="C142" s="38" t="s">
        <v>321</v>
      </c>
      <c r="D142" s="38">
        <v>18000</v>
      </c>
      <c r="E142" s="38">
        <v>17775</v>
      </c>
      <c r="F142" s="187" t="s">
        <v>596</v>
      </c>
      <c r="G142" s="2">
        <f t="shared" si="2"/>
        <v>8888</v>
      </c>
      <c r="H142" s="2"/>
      <c r="I142" s="2"/>
      <c r="J142" s="2"/>
      <c r="K142" s="2"/>
    </row>
    <row r="143" ht="28.5" customHeight="1" spans="1:11">
      <c r="A143" s="19">
        <v>136</v>
      </c>
      <c r="B143" s="37" t="s">
        <v>597</v>
      </c>
      <c r="C143" s="38" t="s">
        <v>321</v>
      </c>
      <c r="D143" s="38">
        <v>20000</v>
      </c>
      <c r="E143" s="38">
        <v>19775</v>
      </c>
      <c r="F143" s="187" t="s">
        <v>598</v>
      </c>
      <c r="G143" s="2">
        <f t="shared" si="2"/>
        <v>9888</v>
      </c>
      <c r="H143" s="2"/>
      <c r="I143" s="2"/>
      <c r="J143" s="2"/>
      <c r="K143" s="2"/>
    </row>
    <row r="144" ht="28.5" customHeight="1" spans="1:11">
      <c r="A144" s="19">
        <v>137</v>
      </c>
      <c r="B144" s="37" t="s">
        <v>599</v>
      </c>
      <c r="C144" s="38" t="s">
        <v>321</v>
      </c>
      <c r="D144" s="38">
        <v>18000</v>
      </c>
      <c r="E144" s="38">
        <v>17775</v>
      </c>
      <c r="F144" s="187" t="s">
        <v>600</v>
      </c>
      <c r="G144" s="2">
        <f t="shared" si="2"/>
        <v>8888</v>
      </c>
      <c r="H144" s="2"/>
      <c r="I144" s="2"/>
      <c r="J144" s="2"/>
      <c r="K144" s="2"/>
    </row>
    <row r="145" ht="28.5" customHeight="1" spans="1:11">
      <c r="A145" s="19">
        <v>138</v>
      </c>
      <c r="B145" s="37" t="s">
        <v>601</v>
      </c>
      <c r="C145" s="38" t="s">
        <v>321</v>
      </c>
      <c r="D145" s="38">
        <v>29000</v>
      </c>
      <c r="E145" s="38">
        <v>28725</v>
      </c>
      <c r="F145" s="187" t="s">
        <v>602</v>
      </c>
      <c r="G145" s="2">
        <f t="shared" si="2"/>
        <v>14363</v>
      </c>
      <c r="H145" s="2"/>
      <c r="I145" s="2"/>
      <c r="J145" s="2"/>
      <c r="K145" s="2"/>
    </row>
    <row r="146" ht="28.5" customHeight="1" spans="1:11">
      <c r="A146" s="19">
        <v>139</v>
      </c>
      <c r="B146" s="37" t="s">
        <v>603</v>
      </c>
      <c r="C146" s="38" t="s">
        <v>321</v>
      </c>
      <c r="D146" s="38">
        <v>18000</v>
      </c>
      <c r="E146" s="38">
        <v>17775</v>
      </c>
      <c r="F146" s="187" t="s">
        <v>604</v>
      </c>
      <c r="G146" s="2">
        <f t="shared" si="2"/>
        <v>8888</v>
      </c>
      <c r="H146" s="2"/>
      <c r="I146" s="2"/>
      <c r="J146" s="2"/>
      <c r="K146" s="2"/>
    </row>
    <row r="147" ht="28.5" customHeight="1" spans="1:11">
      <c r="A147" s="19">
        <v>140</v>
      </c>
      <c r="B147" s="37" t="s">
        <v>605</v>
      </c>
      <c r="C147" s="38" t="s">
        <v>321</v>
      </c>
      <c r="D147" s="38">
        <v>18000</v>
      </c>
      <c r="E147" s="38">
        <v>17775</v>
      </c>
      <c r="F147" s="187" t="s">
        <v>606</v>
      </c>
      <c r="G147" s="2">
        <f t="shared" si="2"/>
        <v>8888</v>
      </c>
      <c r="H147" s="2"/>
      <c r="I147" s="2"/>
      <c r="J147" s="2"/>
      <c r="K147" s="2"/>
    </row>
    <row r="148" ht="28.5" customHeight="1" spans="1:11">
      <c r="A148" s="19">
        <v>141</v>
      </c>
      <c r="B148" s="37" t="s">
        <v>607</v>
      </c>
      <c r="C148" s="38" t="s">
        <v>321</v>
      </c>
      <c r="D148" s="38">
        <v>26000</v>
      </c>
      <c r="E148" s="38">
        <v>25725</v>
      </c>
      <c r="F148" s="187" t="s">
        <v>608</v>
      </c>
      <c r="G148" s="2">
        <f t="shared" si="2"/>
        <v>12863</v>
      </c>
      <c r="H148" s="2"/>
      <c r="I148" s="2"/>
      <c r="J148" s="2"/>
      <c r="K148" s="2"/>
    </row>
    <row r="149" ht="28.5" customHeight="1" spans="1:11">
      <c r="A149" s="23">
        <v>142</v>
      </c>
      <c r="B149" s="34" t="s">
        <v>609</v>
      </c>
      <c r="C149" s="25" t="s">
        <v>321</v>
      </c>
      <c r="D149" s="25">
        <v>18000</v>
      </c>
      <c r="E149" s="25">
        <v>17775</v>
      </c>
      <c r="F149" s="189" t="s">
        <v>610</v>
      </c>
      <c r="G149" s="27">
        <f t="shared" si="2"/>
        <v>8888</v>
      </c>
      <c r="H149" s="27"/>
      <c r="I149" s="27"/>
      <c r="J149" s="27"/>
      <c r="K149" s="27"/>
    </row>
    <row r="150" ht="28.5" customHeight="1" spans="1:11">
      <c r="A150" s="19">
        <v>143</v>
      </c>
      <c r="B150" s="37" t="s">
        <v>611</v>
      </c>
      <c r="C150" s="38" t="s">
        <v>321</v>
      </c>
      <c r="D150" s="38">
        <v>21000</v>
      </c>
      <c r="E150" s="38">
        <v>20725</v>
      </c>
      <c r="F150" s="187" t="s">
        <v>612</v>
      </c>
      <c r="G150" s="2">
        <f t="shared" si="2"/>
        <v>10363</v>
      </c>
      <c r="H150" s="2"/>
      <c r="I150" s="2"/>
      <c r="J150" s="2"/>
      <c r="K150" s="2"/>
    </row>
    <row r="151" ht="28.5" customHeight="1" spans="1:11">
      <c r="A151" s="23">
        <v>144</v>
      </c>
      <c r="B151" s="34" t="s">
        <v>613</v>
      </c>
      <c r="C151" s="25" t="s">
        <v>321</v>
      </c>
      <c r="D151" s="25">
        <v>20000</v>
      </c>
      <c r="E151" s="25">
        <v>19775</v>
      </c>
      <c r="F151" s="189" t="s">
        <v>614</v>
      </c>
      <c r="G151" s="27">
        <f t="shared" si="2"/>
        <v>9888</v>
      </c>
      <c r="H151" s="27"/>
      <c r="I151" s="27"/>
      <c r="J151" s="27"/>
      <c r="K151" s="27"/>
    </row>
    <row r="152" ht="28.5" customHeight="1" spans="1:11">
      <c r="A152" s="23">
        <v>145</v>
      </c>
      <c r="B152" s="34" t="s">
        <v>615</v>
      </c>
      <c r="C152" s="25" t="s">
        <v>321</v>
      </c>
      <c r="D152" s="25">
        <v>25000</v>
      </c>
      <c r="E152" s="25">
        <v>24725</v>
      </c>
      <c r="F152" s="189" t="s">
        <v>616</v>
      </c>
      <c r="G152" s="27">
        <f t="shared" si="2"/>
        <v>12363</v>
      </c>
      <c r="H152" s="27"/>
      <c r="I152" s="27"/>
      <c r="J152" s="27"/>
      <c r="K152" s="27"/>
    </row>
    <row r="153" ht="28.5" customHeight="1" spans="1:11">
      <c r="A153" s="19">
        <v>146</v>
      </c>
      <c r="B153" s="37" t="s">
        <v>617</v>
      </c>
      <c r="C153" s="38" t="s">
        <v>477</v>
      </c>
      <c r="D153" s="19">
        <v>52000</v>
      </c>
      <c r="E153" s="38">
        <v>51725</v>
      </c>
      <c r="F153" s="187" t="s">
        <v>618</v>
      </c>
      <c r="G153" s="2">
        <f t="shared" si="2"/>
        <v>25863</v>
      </c>
      <c r="H153" s="2"/>
      <c r="I153" s="2"/>
      <c r="J153" s="2"/>
      <c r="K153" s="2"/>
    </row>
    <row r="154" ht="28.5" customHeight="1" spans="1:11">
      <c r="A154" s="19">
        <v>147</v>
      </c>
      <c r="B154" s="37" t="s">
        <v>619</v>
      </c>
      <c r="C154" s="38" t="s">
        <v>477</v>
      </c>
      <c r="D154" s="19">
        <v>52000</v>
      </c>
      <c r="E154" s="38">
        <v>51725</v>
      </c>
      <c r="F154" s="187" t="s">
        <v>620</v>
      </c>
      <c r="G154" s="2">
        <f t="shared" si="2"/>
        <v>25863</v>
      </c>
      <c r="H154" s="2"/>
      <c r="I154" s="2"/>
      <c r="J154" s="2"/>
      <c r="K154" s="2"/>
    </row>
    <row r="155" ht="28.5" customHeight="1" spans="1:11">
      <c r="A155" s="19">
        <v>148</v>
      </c>
      <c r="B155" s="37" t="s">
        <v>621</v>
      </c>
      <c r="C155" s="38" t="s">
        <v>424</v>
      </c>
      <c r="D155" s="19">
        <v>18000</v>
      </c>
      <c r="E155" s="38">
        <v>17775</v>
      </c>
      <c r="F155" s="187" t="s">
        <v>622</v>
      </c>
      <c r="G155" s="2">
        <f t="shared" si="2"/>
        <v>8888</v>
      </c>
      <c r="H155" s="2"/>
      <c r="I155" s="2"/>
      <c r="J155" s="2"/>
      <c r="K155" s="2"/>
    </row>
    <row r="156" ht="28.5" customHeight="1" spans="1:11">
      <c r="A156" s="19">
        <v>149</v>
      </c>
      <c r="B156" s="37" t="s">
        <v>623</v>
      </c>
      <c r="C156" s="38" t="s">
        <v>424</v>
      </c>
      <c r="D156" s="19">
        <v>18000</v>
      </c>
      <c r="E156" s="38">
        <v>17775</v>
      </c>
      <c r="F156" s="187" t="s">
        <v>624</v>
      </c>
      <c r="G156" s="2">
        <f t="shared" si="2"/>
        <v>8888</v>
      </c>
      <c r="H156" s="2"/>
      <c r="I156" s="2"/>
      <c r="J156" s="2"/>
      <c r="K156" s="2"/>
    </row>
    <row r="157" ht="28.5" customHeight="1" spans="1:11">
      <c r="A157" s="19">
        <v>150</v>
      </c>
      <c r="B157" s="37" t="s">
        <v>625</v>
      </c>
      <c r="C157" s="38" t="s">
        <v>372</v>
      </c>
      <c r="D157" s="19">
        <v>30000</v>
      </c>
      <c r="E157" s="38">
        <v>29725</v>
      </c>
      <c r="F157" s="187" t="s">
        <v>626</v>
      </c>
      <c r="G157" s="2">
        <f t="shared" si="2"/>
        <v>14863</v>
      </c>
      <c r="H157" s="2"/>
      <c r="I157" s="2"/>
      <c r="J157" s="2"/>
      <c r="K157" s="2"/>
    </row>
    <row r="158" ht="28.5" customHeight="1" spans="1:11">
      <c r="A158" s="19">
        <v>151</v>
      </c>
      <c r="B158" s="37" t="s">
        <v>627</v>
      </c>
      <c r="C158" s="38" t="s">
        <v>321</v>
      </c>
      <c r="D158" s="19">
        <v>25000</v>
      </c>
      <c r="E158" s="38">
        <v>24725</v>
      </c>
      <c r="F158" s="187" t="s">
        <v>628</v>
      </c>
      <c r="G158" s="2">
        <f t="shared" si="2"/>
        <v>12363</v>
      </c>
      <c r="H158" s="2"/>
      <c r="I158" s="2"/>
      <c r="J158" s="2"/>
      <c r="K158" s="2"/>
    </row>
    <row r="159" ht="28.5" customHeight="1" spans="1:11">
      <c r="A159" s="19">
        <v>152</v>
      </c>
      <c r="B159" s="37" t="s">
        <v>629</v>
      </c>
      <c r="C159" s="38" t="s">
        <v>630</v>
      </c>
      <c r="D159" s="19">
        <v>30780</v>
      </c>
      <c r="E159" s="38">
        <v>30780</v>
      </c>
      <c r="F159" s="184" t="s">
        <v>631</v>
      </c>
      <c r="G159" s="2">
        <f t="shared" si="2"/>
        <v>15390</v>
      </c>
      <c r="H159" s="2"/>
      <c r="I159" s="2"/>
      <c r="J159" s="2"/>
      <c r="K159" s="2"/>
    </row>
    <row r="160" ht="28.5" customHeight="1" spans="1:11">
      <c r="A160" s="16"/>
      <c r="B160" s="17" t="s">
        <v>10</v>
      </c>
      <c r="C160" s="18"/>
      <c r="D160" s="18">
        <f t="shared" ref="D160:E160" si="3">SUM(D5:D159)</f>
        <v>6258282</v>
      </c>
      <c r="E160" s="18">
        <f t="shared" si="3"/>
        <v>6013959</v>
      </c>
      <c r="F160" s="18"/>
      <c r="G160" s="6">
        <f>SUM(G6:G159)</f>
        <v>3007041</v>
      </c>
      <c r="H160" s="6"/>
      <c r="I160" s="6"/>
      <c r="J160" s="6"/>
      <c r="K160" s="6"/>
    </row>
    <row r="161" ht="28.5" customHeight="1" spans="1:11">
      <c r="A161" s="19"/>
      <c r="B161" s="20"/>
      <c r="C161" s="20"/>
      <c r="D161" s="21"/>
      <c r="E161" s="19"/>
      <c r="F161" s="22"/>
      <c r="G161" s="2"/>
      <c r="H161" s="2"/>
      <c r="I161" s="2"/>
      <c r="J161" s="2"/>
      <c r="K161" s="2"/>
    </row>
    <row r="162" ht="28.5" customHeight="1" spans="1:11">
      <c r="A162" s="19"/>
      <c r="B162" s="36"/>
      <c r="C162" s="36"/>
      <c r="D162" s="16"/>
      <c r="E162" s="36"/>
      <c r="F162" s="36"/>
      <c r="G162" s="2"/>
      <c r="H162" s="2"/>
      <c r="I162" s="2"/>
      <c r="J162" s="2"/>
      <c r="K162" s="2"/>
    </row>
    <row r="163" ht="28.5" customHeight="1" spans="1:11">
      <c r="A163" s="19"/>
      <c r="B163" s="17"/>
      <c r="C163" s="18"/>
      <c r="D163" s="16"/>
      <c r="E163" s="19"/>
      <c r="F163" s="22"/>
      <c r="G163" s="2"/>
      <c r="H163" s="2"/>
      <c r="I163" s="2"/>
      <c r="J163" s="2"/>
      <c r="K163" s="2"/>
    </row>
    <row r="164" ht="28.5" customHeight="1" spans="1:11">
      <c r="A164" s="19"/>
      <c r="B164" s="17"/>
      <c r="C164" s="18"/>
      <c r="D164" s="16"/>
      <c r="E164" s="19"/>
      <c r="F164" s="22"/>
      <c r="G164" s="2"/>
      <c r="H164" s="2"/>
      <c r="I164" s="2"/>
      <c r="J164" s="2"/>
      <c r="K164" s="2"/>
    </row>
    <row r="165" ht="28.5" hidden="1" customHeight="1" spans="1:11">
      <c r="A165" s="28" t="s">
        <v>309</v>
      </c>
      <c r="G165" s="2"/>
      <c r="H165" s="2"/>
      <c r="I165" s="2"/>
      <c r="J165" s="2"/>
      <c r="K165" s="2"/>
    </row>
    <row r="166" ht="28.5" hidden="1" customHeight="1" spans="1:11">
      <c r="A166" s="28" t="s">
        <v>632</v>
      </c>
      <c r="G166" s="2"/>
      <c r="H166" s="2"/>
      <c r="I166" s="2"/>
      <c r="J166" s="2"/>
      <c r="K166" s="2"/>
    </row>
    <row r="167" ht="41.25" hidden="1" customHeight="1" spans="1:11">
      <c r="A167" s="18" t="s">
        <v>311</v>
      </c>
      <c r="B167" s="17" t="s">
        <v>4</v>
      </c>
      <c r="C167" s="18" t="s">
        <v>5</v>
      </c>
      <c r="D167" s="18" t="s">
        <v>6</v>
      </c>
      <c r="E167" s="18" t="s">
        <v>28</v>
      </c>
      <c r="F167" s="5" t="s">
        <v>29</v>
      </c>
      <c r="G167" s="2"/>
      <c r="H167" s="2"/>
      <c r="I167" s="2"/>
      <c r="J167" s="2"/>
      <c r="K167" s="2"/>
    </row>
    <row r="168" ht="28.5" customHeight="1" spans="1:11">
      <c r="A168" s="28"/>
      <c r="B168" s="29"/>
      <c r="C168" s="30"/>
      <c r="D168" s="28"/>
      <c r="E168" s="28"/>
      <c r="F168" s="31"/>
      <c r="G168" s="2"/>
      <c r="H168" s="2"/>
      <c r="I168" s="2"/>
      <c r="J168" s="2"/>
      <c r="K168" s="2"/>
    </row>
  </sheetData>
  <autoFilter xmlns:etc="http://www.wps.cn/officeDocument/2017/etCustomData" ref="A1:F160" etc:filterBottomFollowUsedRange="0">
    <extLst/>
  </autoFilter>
  <mergeCells count="4">
    <mergeCell ref="A1:F1"/>
    <mergeCell ref="A2:F2"/>
    <mergeCell ref="A165:F165"/>
    <mergeCell ref="A166:F166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4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309</v>
      </c>
      <c r="G1" s="2"/>
      <c r="H1" s="2"/>
      <c r="I1" s="2"/>
      <c r="J1" s="2"/>
      <c r="K1" s="2"/>
    </row>
    <row r="2" ht="22.5" customHeight="1" spans="1:11">
      <c r="A2" s="1" t="s">
        <v>310</v>
      </c>
      <c r="G2" s="2"/>
      <c r="H2" s="2"/>
      <c r="I2" s="2"/>
      <c r="J2" s="2"/>
      <c r="K2" s="2"/>
    </row>
    <row r="3" ht="28.5" customHeight="1" spans="1:11">
      <c r="A3" s="3" t="s">
        <v>311</v>
      </c>
      <c r="B3" s="4" t="s">
        <v>4</v>
      </c>
      <c r="C3" s="3" t="s">
        <v>5</v>
      </c>
      <c r="D3" s="3" t="s">
        <v>6</v>
      </c>
      <c r="E3" s="3" t="s">
        <v>28</v>
      </c>
      <c r="F3" s="5" t="s">
        <v>29</v>
      </c>
      <c r="G3" s="2"/>
      <c r="H3" s="2"/>
      <c r="I3" s="2"/>
      <c r="J3" s="2"/>
      <c r="K3" s="2"/>
    </row>
    <row r="4" ht="21.75" customHeight="1" spans="1:11">
      <c r="A4" s="6"/>
      <c r="B4" s="4" t="s">
        <v>312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313</v>
      </c>
      <c r="C5" s="38" t="s">
        <v>307</v>
      </c>
      <c r="D5" s="19">
        <v>160000</v>
      </c>
      <c r="E5" s="38"/>
      <c r="F5" s="184" t="s">
        <v>314</v>
      </c>
      <c r="G5" s="2">
        <f t="shared" ref="G5:G135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315</v>
      </c>
      <c r="C6" s="38" t="s">
        <v>316</v>
      </c>
      <c r="D6" s="19">
        <v>100106</v>
      </c>
      <c r="E6" s="38">
        <v>99831</v>
      </c>
      <c r="F6" s="184" t="s">
        <v>317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318</v>
      </c>
      <c r="C7" s="38" t="s">
        <v>316</v>
      </c>
      <c r="D7" s="19">
        <v>45000</v>
      </c>
      <c r="E7" s="38">
        <v>44725</v>
      </c>
      <c r="F7" s="184" t="s">
        <v>319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320</v>
      </c>
      <c r="C8" s="38" t="s">
        <v>321</v>
      </c>
      <c r="D8" s="19">
        <v>47667</v>
      </c>
      <c r="E8" s="38">
        <v>47392</v>
      </c>
      <c r="F8" s="184" t="s">
        <v>322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323</v>
      </c>
      <c r="C9" s="38" t="s">
        <v>321</v>
      </c>
      <c r="D9" s="19">
        <v>43206</v>
      </c>
      <c r="E9" s="38">
        <v>42931</v>
      </c>
      <c r="F9" s="184" t="s">
        <v>324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325</v>
      </c>
      <c r="C10" s="38" t="s">
        <v>321</v>
      </c>
      <c r="D10" s="19">
        <v>32460</v>
      </c>
      <c r="E10" s="38">
        <v>32185</v>
      </c>
      <c r="F10" s="184" t="s">
        <v>326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327</v>
      </c>
      <c r="C11" s="38" t="s">
        <v>321</v>
      </c>
      <c r="D11" s="38">
        <v>18000</v>
      </c>
      <c r="E11" s="38">
        <v>17775</v>
      </c>
      <c r="F11" s="184" t="s">
        <v>328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329</v>
      </c>
      <c r="C12" s="38" t="s">
        <v>321</v>
      </c>
      <c r="D12" s="38">
        <v>18000</v>
      </c>
      <c r="E12" s="38">
        <v>17775</v>
      </c>
      <c r="F12" s="184" t="s">
        <v>330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19">
        <v>11</v>
      </c>
      <c r="B13" s="32" t="s">
        <v>335</v>
      </c>
      <c r="C13" s="38" t="s">
        <v>321</v>
      </c>
      <c r="D13" s="38">
        <v>22000</v>
      </c>
      <c r="E13" s="38">
        <v>21725</v>
      </c>
      <c r="F13" s="184" t="s">
        <v>336</v>
      </c>
      <c r="G13" s="2">
        <f t="shared" si="0"/>
        <v>10863</v>
      </c>
      <c r="H13" s="2"/>
      <c r="I13" s="2"/>
      <c r="J13" s="2"/>
      <c r="K13" s="2"/>
    </row>
    <row r="14" ht="28.5" customHeight="1" spans="1:11">
      <c r="A14" s="19">
        <v>12</v>
      </c>
      <c r="B14" s="32" t="s">
        <v>337</v>
      </c>
      <c r="C14" s="38" t="s">
        <v>316</v>
      </c>
      <c r="D14" s="38">
        <v>65000</v>
      </c>
      <c r="E14" s="38">
        <v>61725</v>
      </c>
      <c r="F14" s="186" t="s">
        <v>338</v>
      </c>
      <c r="G14" s="2">
        <f t="shared" si="0"/>
        <v>30863</v>
      </c>
      <c r="H14" s="2"/>
      <c r="I14" s="2"/>
      <c r="J14" s="2"/>
      <c r="K14" s="2"/>
    </row>
    <row r="15" ht="28.5" customHeight="1" spans="1:11">
      <c r="A15" s="19">
        <v>13</v>
      </c>
      <c r="B15" s="37" t="s">
        <v>339</v>
      </c>
      <c r="C15" s="38" t="s">
        <v>340</v>
      </c>
      <c r="D15" s="19">
        <v>89961</v>
      </c>
      <c r="E15" s="38">
        <v>86086</v>
      </c>
      <c r="F15" s="187" t="s">
        <v>341</v>
      </c>
      <c r="G15" s="2">
        <f t="shared" si="0"/>
        <v>43043</v>
      </c>
      <c r="H15" s="2"/>
      <c r="I15" s="2"/>
      <c r="J15" s="2"/>
      <c r="K15" s="2"/>
    </row>
    <row r="16" ht="28.5" customHeight="1" spans="1:11">
      <c r="A16" s="19">
        <v>14</v>
      </c>
      <c r="B16" s="37" t="s">
        <v>342</v>
      </c>
      <c r="C16" s="38" t="s">
        <v>316</v>
      </c>
      <c r="D16" s="19">
        <v>51841</v>
      </c>
      <c r="E16" s="38">
        <v>47966</v>
      </c>
      <c r="F16" s="187" t="s">
        <v>343</v>
      </c>
      <c r="G16" s="2">
        <f t="shared" si="0"/>
        <v>23983</v>
      </c>
      <c r="H16" s="2"/>
      <c r="I16" s="2"/>
      <c r="J16" s="2"/>
      <c r="K16" s="2"/>
    </row>
    <row r="17" ht="28.5" customHeight="1" spans="1:11">
      <c r="A17" s="19">
        <v>15</v>
      </c>
      <c r="B17" s="37" t="s">
        <v>344</v>
      </c>
      <c r="C17" s="38" t="s">
        <v>316</v>
      </c>
      <c r="D17" s="19">
        <v>55000</v>
      </c>
      <c r="E17" s="38">
        <v>54725</v>
      </c>
      <c r="F17" s="187" t="s">
        <v>345</v>
      </c>
      <c r="G17" s="2">
        <f t="shared" si="0"/>
        <v>27363</v>
      </c>
      <c r="H17" s="2"/>
      <c r="I17" s="2"/>
      <c r="J17" s="2"/>
      <c r="K17" s="2"/>
    </row>
    <row r="18" ht="28.5" customHeight="1" spans="1:11">
      <c r="A18" s="19">
        <v>16</v>
      </c>
      <c r="B18" s="37" t="s">
        <v>346</v>
      </c>
      <c r="C18" s="38" t="s">
        <v>316</v>
      </c>
      <c r="D18" s="19">
        <v>52000</v>
      </c>
      <c r="E18" s="38">
        <v>51725</v>
      </c>
      <c r="F18" s="19"/>
      <c r="G18" s="2">
        <f t="shared" si="0"/>
        <v>25863</v>
      </c>
      <c r="H18" s="2"/>
      <c r="I18" s="2"/>
      <c r="J18" s="2"/>
      <c r="K18" s="2"/>
    </row>
    <row r="19" ht="28.5" customHeight="1" spans="1:11">
      <c r="A19" s="19">
        <v>18</v>
      </c>
      <c r="B19" s="37" t="s">
        <v>349</v>
      </c>
      <c r="C19" s="38" t="s">
        <v>316</v>
      </c>
      <c r="D19" s="19">
        <v>60000</v>
      </c>
      <c r="E19" s="38">
        <v>59725</v>
      </c>
      <c r="F19" s="187" t="s">
        <v>350</v>
      </c>
      <c r="G19" s="2">
        <f t="shared" si="0"/>
        <v>29863</v>
      </c>
      <c r="H19" s="2"/>
      <c r="I19" s="2"/>
      <c r="J19" s="2"/>
      <c r="K19" s="2"/>
    </row>
    <row r="20" ht="28.5" customHeight="1" spans="1:11">
      <c r="A20" s="19">
        <v>19</v>
      </c>
      <c r="B20" s="37" t="s">
        <v>351</v>
      </c>
      <c r="C20" s="38" t="s">
        <v>316</v>
      </c>
      <c r="D20" s="19">
        <v>62000</v>
      </c>
      <c r="E20" s="38">
        <v>61725</v>
      </c>
      <c r="F20" s="187" t="s">
        <v>352</v>
      </c>
      <c r="G20" s="2">
        <f t="shared" si="0"/>
        <v>30863</v>
      </c>
      <c r="H20" s="2"/>
      <c r="I20" s="2"/>
      <c r="J20" s="2"/>
      <c r="K20" s="2"/>
    </row>
    <row r="21" ht="28.5" customHeight="1" spans="1:11">
      <c r="A21" s="19">
        <v>20</v>
      </c>
      <c r="B21" s="37" t="s">
        <v>353</v>
      </c>
      <c r="C21" s="38" t="s">
        <v>321</v>
      </c>
      <c r="D21" s="19">
        <v>34510</v>
      </c>
      <c r="E21" s="38">
        <v>34235</v>
      </c>
      <c r="F21" s="187" t="s">
        <v>354</v>
      </c>
      <c r="G21" s="2">
        <f t="shared" si="0"/>
        <v>17118</v>
      </c>
      <c r="H21" s="2"/>
      <c r="I21" s="2"/>
      <c r="J21" s="2"/>
      <c r="K21" s="2"/>
    </row>
    <row r="22" ht="28.5" customHeight="1" spans="1:11">
      <c r="A22" s="19">
        <v>21</v>
      </c>
      <c r="B22" s="37" t="s">
        <v>355</v>
      </c>
      <c r="C22" s="38" t="s">
        <v>321</v>
      </c>
      <c r="D22" s="19">
        <v>20000</v>
      </c>
      <c r="E22" s="38">
        <v>19775</v>
      </c>
      <c r="F22" s="187" t="s">
        <v>356</v>
      </c>
      <c r="G22" s="2">
        <f t="shared" si="0"/>
        <v>9888</v>
      </c>
      <c r="H22" s="2"/>
      <c r="I22" s="2"/>
      <c r="J22" s="2"/>
      <c r="K22" s="2"/>
    </row>
    <row r="23" ht="28.5" customHeight="1" spans="1:11">
      <c r="A23" s="19">
        <v>22</v>
      </c>
      <c r="B23" s="37" t="s">
        <v>357</v>
      </c>
      <c r="C23" s="38" t="s">
        <v>321</v>
      </c>
      <c r="D23" s="19">
        <v>35000</v>
      </c>
      <c r="E23" s="38">
        <v>34725</v>
      </c>
      <c r="F23" s="187" t="s">
        <v>358</v>
      </c>
      <c r="G23" s="2">
        <f t="shared" si="0"/>
        <v>17363</v>
      </c>
      <c r="H23" s="2"/>
      <c r="I23" s="2"/>
      <c r="J23" s="2"/>
      <c r="K23" s="2"/>
    </row>
    <row r="24" ht="28.5" customHeight="1" spans="1:11">
      <c r="A24" s="19">
        <v>24</v>
      </c>
      <c r="B24" s="37" t="s">
        <v>361</v>
      </c>
      <c r="C24" s="38" t="s">
        <v>321</v>
      </c>
      <c r="D24" s="19">
        <v>25000</v>
      </c>
      <c r="E24" s="38">
        <v>24725</v>
      </c>
      <c r="F24" s="187" t="s">
        <v>362</v>
      </c>
      <c r="G24" s="2">
        <f t="shared" si="0"/>
        <v>12363</v>
      </c>
      <c r="H24" s="2"/>
      <c r="I24" s="2"/>
      <c r="J24" s="2"/>
      <c r="K24" s="2"/>
    </row>
    <row r="25" ht="28.5" customHeight="1" spans="1:11">
      <c r="A25" s="19">
        <v>25</v>
      </c>
      <c r="B25" s="37" t="s">
        <v>363</v>
      </c>
      <c r="C25" s="38" t="s">
        <v>321</v>
      </c>
      <c r="D25" s="19">
        <v>26460</v>
      </c>
      <c r="E25" s="38">
        <v>26185</v>
      </c>
      <c r="F25" s="187" t="s">
        <v>364</v>
      </c>
      <c r="G25" s="2">
        <f t="shared" si="0"/>
        <v>13093</v>
      </c>
      <c r="H25" s="2"/>
      <c r="I25" s="2"/>
      <c r="J25" s="2"/>
      <c r="K25" s="2"/>
    </row>
    <row r="26" ht="43.5" customHeight="1" spans="1:11">
      <c r="A26" s="19">
        <v>26</v>
      </c>
      <c r="B26" s="37" t="s">
        <v>365</v>
      </c>
      <c r="C26" s="38" t="s">
        <v>366</v>
      </c>
      <c r="D26" s="19">
        <v>100000</v>
      </c>
      <c r="E26" s="38">
        <v>96125</v>
      </c>
      <c r="F26" s="184" t="s">
        <v>367</v>
      </c>
      <c r="G26" s="2">
        <f t="shared" si="0"/>
        <v>48063</v>
      </c>
      <c r="H26" s="2"/>
      <c r="I26" s="2"/>
      <c r="J26" s="2"/>
      <c r="K26" s="2"/>
    </row>
    <row r="27" ht="28.5" customHeight="1" spans="1:11">
      <c r="A27" s="19">
        <v>27</v>
      </c>
      <c r="B27" s="37" t="s">
        <v>368</v>
      </c>
      <c r="C27" s="38" t="s">
        <v>369</v>
      </c>
      <c r="D27" s="19">
        <v>65000</v>
      </c>
      <c r="E27" s="38">
        <v>64725</v>
      </c>
      <c r="F27" s="184" t="s">
        <v>370</v>
      </c>
      <c r="G27" s="2">
        <f t="shared" si="0"/>
        <v>32363</v>
      </c>
      <c r="H27" s="2"/>
      <c r="I27" s="2"/>
      <c r="J27" s="2"/>
      <c r="K27" s="2"/>
    </row>
    <row r="28" ht="28.5" customHeight="1" spans="1:11">
      <c r="A28" s="19">
        <v>28</v>
      </c>
      <c r="B28" s="37" t="s">
        <v>371</v>
      </c>
      <c r="C28" s="38" t="s">
        <v>372</v>
      </c>
      <c r="D28" s="19">
        <v>89961</v>
      </c>
      <c r="E28" s="38">
        <v>86086</v>
      </c>
      <c r="F28" s="184" t="s">
        <v>373</v>
      </c>
      <c r="G28" s="2">
        <f t="shared" si="0"/>
        <v>43043</v>
      </c>
      <c r="H28" s="2"/>
      <c r="I28" s="2"/>
      <c r="J28" s="2"/>
      <c r="K28" s="2"/>
    </row>
    <row r="29" ht="28.5" customHeight="1" spans="1:11">
      <c r="A29" s="19">
        <v>29</v>
      </c>
      <c r="B29" s="37" t="s">
        <v>374</v>
      </c>
      <c r="C29" s="38" t="s">
        <v>372</v>
      </c>
      <c r="D29" s="19">
        <v>75000</v>
      </c>
      <c r="E29" s="38">
        <v>74725</v>
      </c>
      <c r="F29" s="184" t="s">
        <v>375</v>
      </c>
      <c r="G29" s="2">
        <f t="shared" si="0"/>
        <v>37363</v>
      </c>
      <c r="H29" s="2"/>
      <c r="I29" s="2"/>
      <c r="J29" s="2"/>
      <c r="K29" s="2"/>
    </row>
    <row r="30" ht="28.5" customHeight="1" spans="1:11">
      <c r="A30" s="19">
        <v>30</v>
      </c>
      <c r="B30" s="37" t="s">
        <v>376</v>
      </c>
      <c r="C30" s="38" t="s">
        <v>377</v>
      </c>
      <c r="D30" s="19">
        <v>45000</v>
      </c>
      <c r="E30" s="38">
        <v>44725</v>
      </c>
      <c r="F30" s="184" t="s">
        <v>378</v>
      </c>
      <c r="G30" s="2">
        <f t="shared" si="0"/>
        <v>22363</v>
      </c>
      <c r="H30" s="2"/>
      <c r="I30" s="2"/>
      <c r="J30" s="2"/>
      <c r="K30" s="2"/>
    </row>
    <row r="31" ht="28.5" customHeight="1" spans="1:11">
      <c r="A31" s="19">
        <v>31</v>
      </c>
      <c r="B31" s="37" t="s">
        <v>379</v>
      </c>
      <c r="C31" s="38" t="s">
        <v>377</v>
      </c>
      <c r="D31" s="19">
        <v>55000</v>
      </c>
      <c r="E31" s="38">
        <v>54725</v>
      </c>
      <c r="F31" s="184" t="s">
        <v>380</v>
      </c>
      <c r="G31" s="2">
        <f t="shared" si="0"/>
        <v>27363</v>
      </c>
      <c r="H31" s="2"/>
      <c r="I31" s="2"/>
      <c r="J31" s="2"/>
      <c r="K31" s="2"/>
    </row>
    <row r="32" ht="28.5" customHeight="1" spans="1:11">
      <c r="A32" s="19">
        <v>32</v>
      </c>
      <c r="B32" s="37" t="s">
        <v>381</v>
      </c>
      <c r="C32" s="38" t="s">
        <v>321</v>
      </c>
      <c r="D32" s="19">
        <v>65000</v>
      </c>
      <c r="E32" s="38">
        <v>68725</v>
      </c>
      <c r="F32" s="184" t="s">
        <v>382</v>
      </c>
      <c r="G32" s="2">
        <f t="shared" si="0"/>
        <v>34363</v>
      </c>
      <c r="H32" s="2"/>
      <c r="I32" s="2"/>
      <c r="J32" s="2"/>
      <c r="K32" s="2"/>
    </row>
    <row r="33" ht="28.5" customHeight="1" spans="1:11">
      <c r="A33" s="19">
        <v>33</v>
      </c>
      <c r="B33" s="37" t="s">
        <v>383</v>
      </c>
      <c r="C33" s="38" t="s">
        <v>321</v>
      </c>
      <c r="D33" s="19">
        <v>31949</v>
      </c>
      <c r="E33" s="38">
        <v>31674</v>
      </c>
      <c r="F33" s="184" t="s">
        <v>384</v>
      </c>
      <c r="G33" s="2">
        <f t="shared" si="0"/>
        <v>15837</v>
      </c>
      <c r="H33" s="2"/>
      <c r="I33" s="2"/>
      <c r="J33" s="2"/>
      <c r="K33" s="2"/>
    </row>
    <row r="34" ht="28.5" customHeight="1" spans="1:11">
      <c r="A34" s="19">
        <v>34</v>
      </c>
      <c r="B34" s="37" t="s">
        <v>385</v>
      </c>
      <c r="C34" s="38" t="s">
        <v>321</v>
      </c>
      <c r="D34" s="19">
        <v>20000</v>
      </c>
      <c r="E34" s="38">
        <v>19775</v>
      </c>
      <c r="F34" s="184" t="s">
        <v>386</v>
      </c>
      <c r="G34" s="2">
        <f t="shared" si="0"/>
        <v>9888</v>
      </c>
      <c r="H34" s="2"/>
      <c r="I34" s="2"/>
      <c r="J34" s="2"/>
      <c r="K34" s="2"/>
    </row>
    <row r="35" ht="28.5" customHeight="1" spans="1:11">
      <c r="A35" s="19">
        <v>35</v>
      </c>
      <c r="B35" s="37" t="s">
        <v>387</v>
      </c>
      <c r="C35" s="38" t="s">
        <v>321</v>
      </c>
      <c r="D35" s="19">
        <v>25000</v>
      </c>
      <c r="E35" s="38">
        <v>24725</v>
      </c>
      <c r="F35" s="184" t="s">
        <v>388</v>
      </c>
      <c r="G35" s="2">
        <f t="shared" si="0"/>
        <v>12363</v>
      </c>
      <c r="H35" s="2"/>
      <c r="I35" s="2"/>
      <c r="J35" s="2"/>
      <c r="K35" s="2"/>
    </row>
    <row r="36" ht="28.5" customHeight="1" spans="1:11">
      <c r="A36" s="19">
        <v>36</v>
      </c>
      <c r="B36" s="37" t="s">
        <v>389</v>
      </c>
      <c r="C36" s="38" t="s">
        <v>321</v>
      </c>
      <c r="D36" s="19">
        <v>45000</v>
      </c>
      <c r="E36" s="38">
        <v>44725</v>
      </c>
      <c r="F36" s="184" t="s">
        <v>390</v>
      </c>
      <c r="G36" s="2">
        <f t="shared" si="0"/>
        <v>22363</v>
      </c>
      <c r="H36" s="2"/>
      <c r="I36" s="2"/>
      <c r="J36" s="2"/>
      <c r="K36" s="2"/>
    </row>
    <row r="37" ht="28.5" customHeight="1" spans="1:11">
      <c r="A37" s="19">
        <v>37</v>
      </c>
      <c r="B37" s="37" t="s">
        <v>391</v>
      </c>
      <c r="C37" s="38" t="s">
        <v>321</v>
      </c>
      <c r="D37" s="19">
        <v>15000</v>
      </c>
      <c r="E37" s="38">
        <v>14925</v>
      </c>
      <c r="F37" s="184" t="s">
        <v>392</v>
      </c>
      <c r="G37" s="2">
        <f t="shared" si="0"/>
        <v>7463</v>
      </c>
      <c r="H37" s="2"/>
      <c r="I37" s="2"/>
      <c r="J37" s="2"/>
      <c r="K37" s="2"/>
    </row>
    <row r="38" ht="29.25" customHeight="1" spans="1:11">
      <c r="A38" s="19">
        <v>38</v>
      </c>
      <c r="B38" s="37" t="s">
        <v>393</v>
      </c>
      <c r="C38" s="38" t="s">
        <v>321</v>
      </c>
      <c r="D38" s="19">
        <v>15000</v>
      </c>
      <c r="E38" s="38">
        <v>14925</v>
      </c>
      <c r="F38" s="184" t="s">
        <v>394</v>
      </c>
      <c r="G38" s="2">
        <f t="shared" si="0"/>
        <v>7463</v>
      </c>
      <c r="H38" s="2"/>
      <c r="I38" s="2"/>
      <c r="J38" s="2"/>
      <c r="K38" s="2"/>
    </row>
    <row r="39" ht="28.5" customHeight="1" spans="1:11">
      <c r="A39" s="19">
        <v>39</v>
      </c>
      <c r="B39" s="37" t="s">
        <v>395</v>
      </c>
      <c r="C39" s="38" t="s">
        <v>321</v>
      </c>
      <c r="D39" s="19">
        <v>60000</v>
      </c>
      <c r="E39" s="38">
        <v>59725</v>
      </c>
      <c r="F39" s="184" t="s">
        <v>396</v>
      </c>
      <c r="G39" s="2">
        <f t="shared" si="0"/>
        <v>29863</v>
      </c>
      <c r="H39" s="2"/>
      <c r="I39" s="2"/>
      <c r="J39" s="2"/>
      <c r="K39" s="2"/>
    </row>
    <row r="40" ht="28.5" customHeight="1" spans="1:11">
      <c r="A40" s="19">
        <v>40</v>
      </c>
      <c r="B40" s="37" t="s">
        <v>397</v>
      </c>
      <c r="C40" s="38" t="s">
        <v>321</v>
      </c>
      <c r="D40" s="19">
        <v>25000</v>
      </c>
      <c r="E40" s="38">
        <v>24725</v>
      </c>
      <c r="F40" s="184" t="s">
        <v>398</v>
      </c>
      <c r="G40" s="2">
        <f t="shared" si="0"/>
        <v>12363</v>
      </c>
      <c r="H40" s="2"/>
      <c r="I40" s="2"/>
      <c r="J40" s="2"/>
      <c r="K40" s="2"/>
    </row>
    <row r="41" ht="28.5" customHeight="1" spans="1:11">
      <c r="A41" s="19">
        <v>41</v>
      </c>
      <c r="B41" s="37" t="s">
        <v>399</v>
      </c>
      <c r="C41" s="38" t="s">
        <v>321</v>
      </c>
      <c r="D41" s="19">
        <v>25000</v>
      </c>
      <c r="E41" s="38">
        <v>24725</v>
      </c>
      <c r="F41" s="184" t="s">
        <v>400</v>
      </c>
      <c r="G41" s="2">
        <f t="shared" si="0"/>
        <v>12363</v>
      </c>
      <c r="H41" s="2"/>
      <c r="I41" s="2"/>
      <c r="J41" s="2"/>
      <c r="K41" s="2"/>
    </row>
    <row r="42" ht="28.5" customHeight="1" spans="1:11">
      <c r="A42" s="19">
        <v>42</v>
      </c>
      <c r="B42" s="37" t="s">
        <v>401</v>
      </c>
      <c r="C42" s="38" t="s">
        <v>321</v>
      </c>
      <c r="D42" s="19">
        <v>25000</v>
      </c>
      <c r="E42" s="38">
        <v>24725</v>
      </c>
      <c r="F42" s="184" t="s">
        <v>402</v>
      </c>
      <c r="G42" s="2">
        <f t="shared" si="0"/>
        <v>12363</v>
      </c>
      <c r="H42" s="2"/>
      <c r="I42" s="2"/>
      <c r="J42" s="2"/>
      <c r="K42" s="2"/>
    </row>
    <row r="43" ht="28.5" customHeight="1" spans="1:11">
      <c r="A43" s="19">
        <v>43</v>
      </c>
      <c r="B43" s="37" t="s">
        <v>403</v>
      </c>
      <c r="C43" s="38" t="s">
        <v>404</v>
      </c>
      <c r="D43" s="19">
        <v>80000</v>
      </c>
      <c r="E43" s="38">
        <v>79725</v>
      </c>
      <c r="F43" s="187" t="s">
        <v>405</v>
      </c>
      <c r="G43" s="2">
        <f t="shared" si="0"/>
        <v>39863</v>
      </c>
      <c r="H43" s="2"/>
      <c r="I43" s="2"/>
      <c r="J43" s="2"/>
      <c r="K43" s="2"/>
    </row>
    <row r="44" ht="28.5" customHeight="1" spans="1:11">
      <c r="A44" s="19">
        <v>45</v>
      </c>
      <c r="B44" s="40" t="s">
        <v>408</v>
      </c>
      <c r="C44" s="38" t="s">
        <v>316</v>
      </c>
      <c r="D44" s="19">
        <v>50000</v>
      </c>
      <c r="E44" s="38">
        <v>49725</v>
      </c>
      <c r="F44" s="187" t="s">
        <v>409</v>
      </c>
      <c r="G44" s="2">
        <f t="shared" si="0"/>
        <v>24863</v>
      </c>
      <c r="H44" s="2"/>
      <c r="I44" s="2"/>
      <c r="J44" s="2"/>
      <c r="K44" s="2"/>
    </row>
    <row r="45" ht="28.5" customHeight="1" spans="1:11">
      <c r="A45" s="19">
        <v>46</v>
      </c>
      <c r="B45" s="40" t="s">
        <v>410</v>
      </c>
      <c r="C45" s="38" t="s">
        <v>316</v>
      </c>
      <c r="D45" s="19">
        <v>50000</v>
      </c>
      <c r="E45" s="38">
        <v>49725</v>
      </c>
      <c r="F45" s="187" t="s">
        <v>411</v>
      </c>
      <c r="G45" s="2">
        <f t="shared" si="0"/>
        <v>24863</v>
      </c>
      <c r="H45" s="2"/>
      <c r="I45" s="2"/>
      <c r="J45" s="2"/>
      <c r="K45" s="2"/>
    </row>
    <row r="46" ht="28.5" customHeight="1" spans="1:11">
      <c r="A46" s="19">
        <v>48</v>
      </c>
      <c r="B46" s="37" t="s">
        <v>413</v>
      </c>
      <c r="C46" s="38" t="s">
        <v>316</v>
      </c>
      <c r="D46" s="19">
        <v>46559</v>
      </c>
      <c r="E46" s="38">
        <v>42684</v>
      </c>
      <c r="F46" s="187" t="s">
        <v>414</v>
      </c>
      <c r="G46" s="2">
        <f t="shared" si="0"/>
        <v>21342</v>
      </c>
      <c r="H46" s="2"/>
      <c r="I46" s="2"/>
      <c r="J46" s="2"/>
      <c r="K46" s="2"/>
    </row>
    <row r="47" ht="28.5" customHeight="1" spans="1:11">
      <c r="A47" s="19">
        <v>49</v>
      </c>
      <c r="B47" s="37" t="s">
        <v>415</v>
      </c>
      <c r="C47" s="38" t="s">
        <v>316</v>
      </c>
      <c r="D47" s="19">
        <v>40548</v>
      </c>
      <c r="E47" s="38">
        <v>36673</v>
      </c>
      <c r="F47" s="187" t="s">
        <v>416</v>
      </c>
      <c r="G47" s="2">
        <f t="shared" si="0"/>
        <v>18337</v>
      </c>
      <c r="H47" s="2"/>
      <c r="I47" s="2"/>
      <c r="J47" s="2"/>
      <c r="K47" s="2"/>
    </row>
    <row r="48" ht="28.5" customHeight="1" spans="1:11">
      <c r="A48" s="19">
        <v>50</v>
      </c>
      <c r="B48" s="37" t="s">
        <v>417</v>
      </c>
      <c r="C48" s="38" t="s">
        <v>316</v>
      </c>
      <c r="D48" s="19">
        <v>36045</v>
      </c>
      <c r="E48" s="38">
        <v>36170</v>
      </c>
      <c r="F48" s="187" t="s">
        <v>418</v>
      </c>
      <c r="G48" s="2">
        <f t="shared" si="0"/>
        <v>18085</v>
      </c>
      <c r="H48" s="2"/>
      <c r="I48" s="2"/>
      <c r="J48" s="2"/>
      <c r="K48" s="2"/>
    </row>
    <row r="49" ht="28.5" customHeight="1" spans="1:11">
      <c r="A49" s="19">
        <v>52</v>
      </c>
      <c r="B49" s="37" t="s">
        <v>421</v>
      </c>
      <c r="C49" s="38" t="s">
        <v>316</v>
      </c>
      <c r="D49" s="19">
        <v>45000</v>
      </c>
      <c r="E49" s="38">
        <v>44725</v>
      </c>
      <c r="F49" s="187" t="s">
        <v>422</v>
      </c>
      <c r="G49" s="2">
        <f t="shared" si="0"/>
        <v>22363</v>
      </c>
      <c r="H49" s="2"/>
      <c r="I49" s="2"/>
      <c r="J49" s="2"/>
      <c r="K49" s="2"/>
    </row>
    <row r="50" ht="28.5" customHeight="1" spans="1:11">
      <c r="A50" s="19">
        <v>53</v>
      </c>
      <c r="B50" s="37" t="s">
        <v>423</v>
      </c>
      <c r="C50" s="38" t="s">
        <v>424</v>
      </c>
      <c r="D50" s="19">
        <v>20000</v>
      </c>
      <c r="E50" s="38">
        <v>19775</v>
      </c>
      <c r="F50" s="187" t="s">
        <v>425</v>
      </c>
      <c r="G50" s="2">
        <f t="shared" si="0"/>
        <v>9888</v>
      </c>
      <c r="H50" s="2"/>
      <c r="I50" s="2"/>
      <c r="J50" s="2"/>
      <c r="K50" s="2"/>
    </row>
    <row r="51" ht="28.5" customHeight="1" spans="1:11">
      <c r="A51" s="19">
        <v>54</v>
      </c>
      <c r="B51" s="37" t="s">
        <v>426</v>
      </c>
      <c r="C51" s="38" t="s">
        <v>321</v>
      </c>
      <c r="D51" s="19">
        <v>34510</v>
      </c>
      <c r="E51" s="38">
        <v>34235</v>
      </c>
      <c r="F51" s="187" t="s">
        <v>427</v>
      </c>
      <c r="G51" s="2">
        <f t="shared" si="0"/>
        <v>17118</v>
      </c>
      <c r="H51" s="2"/>
      <c r="I51" s="2"/>
      <c r="J51" s="2"/>
      <c r="K51" s="2"/>
    </row>
    <row r="52" ht="28.5" customHeight="1" spans="1:11">
      <c r="A52" s="19">
        <v>55</v>
      </c>
      <c r="B52" s="37" t="s">
        <v>428</v>
      </c>
      <c r="C52" s="38" t="s">
        <v>321</v>
      </c>
      <c r="D52" s="19">
        <v>65000</v>
      </c>
      <c r="E52" s="38">
        <v>64725</v>
      </c>
      <c r="F52" s="187" t="s">
        <v>429</v>
      </c>
      <c r="G52" s="2">
        <f t="shared" si="0"/>
        <v>32363</v>
      </c>
      <c r="H52" s="2"/>
      <c r="I52" s="2"/>
      <c r="J52" s="2"/>
      <c r="K52" s="2"/>
    </row>
    <row r="53" ht="28.5" customHeight="1" spans="1:11">
      <c r="A53" s="19">
        <v>56</v>
      </c>
      <c r="B53" s="37" t="s">
        <v>430</v>
      </c>
      <c r="C53" s="38" t="s">
        <v>321</v>
      </c>
      <c r="D53" s="19">
        <v>23000</v>
      </c>
      <c r="E53" s="38">
        <v>22725</v>
      </c>
      <c r="F53" s="187" t="s">
        <v>431</v>
      </c>
      <c r="G53" s="2">
        <f t="shared" si="0"/>
        <v>11363</v>
      </c>
      <c r="H53" s="2"/>
      <c r="I53" s="2"/>
      <c r="J53" s="2"/>
      <c r="K53" s="2"/>
    </row>
    <row r="54" ht="28.5" customHeight="1" spans="1:11">
      <c r="A54" s="19">
        <v>58</v>
      </c>
      <c r="B54" s="37" t="s">
        <v>434</v>
      </c>
      <c r="C54" s="38" t="s">
        <v>321</v>
      </c>
      <c r="D54" s="19">
        <v>33460</v>
      </c>
      <c r="E54" s="38">
        <v>33185</v>
      </c>
      <c r="F54" s="187" t="s">
        <v>435</v>
      </c>
      <c r="G54" s="2">
        <f t="shared" si="0"/>
        <v>16593</v>
      </c>
      <c r="H54" s="2"/>
      <c r="I54" s="2"/>
      <c r="J54" s="2"/>
      <c r="K54" s="2"/>
    </row>
    <row r="55" ht="28.5" customHeight="1" spans="1:11">
      <c r="A55" s="19">
        <v>59</v>
      </c>
      <c r="B55" s="37" t="s">
        <v>436</v>
      </c>
      <c r="C55" s="38" t="s">
        <v>321</v>
      </c>
      <c r="D55" s="19">
        <v>17000</v>
      </c>
      <c r="E55" s="38">
        <v>16775</v>
      </c>
      <c r="F55" s="187" t="s">
        <v>437</v>
      </c>
      <c r="G55" s="2">
        <f t="shared" si="0"/>
        <v>8388</v>
      </c>
      <c r="H55" s="2"/>
      <c r="I55" s="2"/>
      <c r="J55" s="2"/>
      <c r="K55" s="2"/>
    </row>
    <row r="56" ht="28.5" customHeight="1" spans="1:11">
      <c r="A56" s="19">
        <v>60</v>
      </c>
      <c r="B56" s="37" t="s">
        <v>438</v>
      </c>
      <c r="C56" s="38" t="s">
        <v>321</v>
      </c>
      <c r="D56" s="19">
        <v>75000</v>
      </c>
      <c r="E56" s="38">
        <v>74725</v>
      </c>
      <c r="F56" s="187" t="s">
        <v>439</v>
      </c>
      <c r="G56" s="2">
        <f t="shared" si="0"/>
        <v>37363</v>
      </c>
      <c r="H56" s="2"/>
      <c r="I56" s="2"/>
      <c r="J56" s="2"/>
      <c r="K56" s="2"/>
    </row>
    <row r="57" ht="28.5" customHeight="1" spans="1:11">
      <c r="A57" s="19">
        <v>61</v>
      </c>
      <c r="B57" s="37" t="s">
        <v>440</v>
      </c>
      <c r="C57" s="38" t="s">
        <v>321</v>
      </c>
      <c r="D57" s="19">
        <v>18000</v>
      </c>
      <c r="E57" s="38">
        <v>17775</v>
      </c>
      <c r="F57" s="187" t="s">
        <v>441</v>
      </c>
      <c r="G57" s="2">
        <f t="shared" si="0"/>
        <v>8888</v>
      </c>
      <c r="H57" s="2"/>
      <c r="I57" s="2"/>
      <c r="J57" s="2"/>
      <c r="K57" s="2"/>
    </row>
    <row r="58" ht="28.5" customHeight="1" spans="1:11">
      <c r="A58" s="19">
        <v>62</v>
      </c>
      <c r="B58" s="37" t="s">
        <v>442</v>
      </c>
      <c r="C58" s="38" t="s">
        <v>321</v>
      </c>
      <c r="D58" s="19">
        <v>50000</v>
      </c>
      <c r="E58" s="38">
        <v>49725</v>
      </c>
      <c r="F58" s="187" t="s">
        <v>443</v>
      </c>
      <c r="G58" s="2">
        <f t="shared" si="0"/>
        <v>24863</v>
      </c>
      <c r="H58" s="2"/>
      <c r="I58" s="2"/>
      <c r="J58" s="2"/>
      <c r="K58" s="2"/>
    </row>
    <row r="59" ht="28.5" customHeight="1" spans="1:11">
      <c r="A59" s="19">
        <v>63</v>
      </c>
      <c r="B59" s="37" t="s">
        <v>444</v>
      </c>
      <c r="C59" s="38" t="s">
        <v>321</v>
      </c>
      <c r="D59" s="19">
        <v>31460</v>
      </c>
      <c r="E59" s="38">
        <v>31185</v>
      </c>
      <c r="F59" s="187" t="s">
        <v>445</v>
      </c>
      <c r="G59" s="2">
        <f t="shared" si="0"/>
        <v>15593</v>
      </c>
      <c r="H59" s="2"/>
      <c r="I59" s="2"/>
      <c r="J59" s="2"/>
      <c r="K59" s="2"/>
    </row>
    <row r="60" ht="28.5" customHeight="1" spans="1:11">
      <c r="A60" s="19">
        <v>64</v>
      </c>
      <c r="B60" s="37" t="s">
        <v>446</v>
      </c>
      <c r="C60" s="38" t="s">
        <v>321</v>
      </c>
      <c r="D60" s="19">
        <v>65000</v>
      </c>
      <c r="E60" s="38">
        <v>64725</v>
      </c>
      <c r="F60" s="187" t="s">
        <v>447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65</v>
      </c>
      <c r="B61" s="37" t="s">
        <v>448</v>
      </c>
      <c r="C61" s="38" t="s">
        <v>321</v>
      </c>
      <c r="D61" s="19">
        <v>15000</v>
      </c>
      <c r="E61" s="38">
        <v>14970</v>
      </c>
      <c r="F61" s="187" t="s">
        <v>449</v>
      </c>
      <c r="G61" s="2">
        <f t="shared" si="0"/>
        <v>7485</v>
      </c>
      <c r="H61" s="2"/>
      <c r="I61" s="2"/>
      <c r="J61" s="2"/>
      <c r="K61" s="2"/>
    </row>
    <row r="62" ht="28.5" customHeight="1" spans="1:11">
      <c r="A62" s="19">
        <v>66</v>
      </c>
      <c r="B62" s="37" t="s">
        <v>193</v>
      </c>
      <c r="C62" s="38" t="s">
        <v>321</v>
      </c>
      <c r="D62" s="19">
        <v>15000</v>
      </c>
      <c r="E62" s="38">
        <v>13170</v>
      </c>
      <c r="F62" s="187" t="s">
        <v>194</v>
      </c>
      <c r="G62" s="2">
        <f t="shared" si="0"/>
        <v>6585</v>
      </c>
      <c r="H62" s="2"/>
      <c r="I62" s="2"/>
      <c r="J62" s="2"/>
      <c r="K62" s="2"/>
    </row>
    <row r="63" ht="28.5" customHeight="1" spans="1:11">
      <c r="A63" s="19">
        <v>67</v>
      </c>
      <c r="B63" s="37" t="s">
        <v>450</v>
      </c>
      <c r="C63" s="38" t="s">
        <v>321</v>
      </c>
      <c r="D63" s="19">
        <v>25000</v>
      </c>
      <c r="E63" s="38">
        <v>24725</v>
      </c>
      <c r="F63" s="187" t="s">
        <v>451</v>
      </c>
      <c r="G63" s="2">
        <f t="shared" si="0"/>
        <v>12363</v>
      </c>
      <c r="H63" s="2"/>
      <c r="I63" s="2"/>
      <c r="J63" s="2"/>
      <c r="K63" s="2"/>
    </row>
    <row r="64" ht="28.5" customHeight="1" spans="1:11">
      <c r="A64" s="19">
        <v>68</v>
      </c>
      <c r="B64" s="37" t="s">
        <v>452</v>
      </c>
      <c r="C64" s="38" t="s">
        <v>453</v>
      </c>
      <c r="D64" s="19">
        <v>40395</v>
      </c>
      <c r="E64" s="38">
        <v>36520</v>
      </c>
      <c r="F64" s="187" t="s">
        <v>454</v>
      </c>
      <c r="G64" s="2">
        <f t="shared" si="0"/>
        <v>18260</v>
      </c>
      <c r="H64" s="2"/>
      <c r="I64" s="2"/>
      <c r="J64" s="2"/>
      <c r="K64" s="2"/>
    </row>
    <row r="65" ht="28.5" customHeight="1" spans="1:11">
      <c r="A65" s="19">
        <v>69</v>
      </c>
      <c r="B65" s="37" t="s">
        <v>455</v>
      </c>
      <c r="C65" s="38" t="s">
        <v>316</v>
      </c>
      <c r="D65" s="19">
        <v>49126</v>
      </c>
      <c r="E65" s="38">
        <v>45251</v>
      </c>
      <c r="F65" s="187" t="s">
        <v>456</v>
      </c>
      <c r="G65" s="2">
        <f t="shared" si="0"/>
        <v>22626</v>
      </c>
      <c r="H65" s="2"/>
      <c r="I65" s="2"/>
      <c r="J65" s="2"/>
      <c r="K65" s="2"/>
    </row>
    <row r="66" ht="28.5" customHeight="1" spans="1:11">
      <c r="A66" s="19">
        <v>70</v>
      </c>
      <c r="B66" s="37" t="s">
        <v>457</v>
      </c>
      <c r="C66" s="38" t="s">
        <v>316</v>
      </c>
      <c r="D66" s="19">
        <v>50000</v>
      </c>
      <c r="E66" s="38">
        <v>49725</v>
      </c>
      <c r="F66" s="187" t="s">
        <v>458</v>
      </c>
      <c r="G66" s="2">
        <f t="shared" si="0"/>
        <v>24863</v>
      </c>
      <c r="H66" s="2"/>
      <c r="I66" s="2"/>
      <c r="J66" s="2"/>
      <c r="K66" s="2"/>
    </row>
    <row r="67" ht="28.5" customHeight="1" spans="1:11">
      <c r="A67" s="19">
        <v>72</v>
      </c>
      <c r="B67" s="37" t="s">
        <v>460</v>
      </c>
      <c r="C67" s="38" t="s">
        <v>316</v>
      </c>
      <c r="D67" s="19">
        <v>75000</v>
      </c>
      <c r="E67" s="38">
        <v>74725</v>
      </c>
      <c r="F67" s="187" t="s">
        <v>461</v>
      </c>
      <c r="G67" s="2">
        <f t="shared" si="0"/>
        <v>37363</v>
      </c>
      <c r="H67" s="2"/>
      <c r="I67" s="2"/>
      <c r="J67" s="2"/>
      <c r="K67" s="2"/>
    </row>
    <row r="68" ht="28.5" customHeight="1" spans="1:11">
      <c r="A68" s="19">
        <v>73</v>
      </c>
      <c r="B68" s="37" t="s">
        <v>462</v>
      </c>
      <c r="C68" s="38" t="s">
        <v>316</v>
      </c>
      <c r="D68" s="19">
        <v>50000</v>
      </c>
      <c r="E68" s="38">
        <v>49725</v>
      </c>
      <c r="F68" s="187" t="s">
        <v>463</v>
      </c>
      <c r="G68" s="2">
        <f t="shared" si="0"/>
        <v>24863</v>
      </c>
      <c r="H68" s="2"/>
      <c r="I68" s="2"/>
      <c r="J68" s="2"/>
      <c r="K68" s="2"/>
    </row>
    <row r="69" ht="28.5" customHeight="1" spans="1:11">
      <c r="A69" s="19">
        <v>74</v>
      </c>
      <c r="B69" s="37" t="s">
        <v>464</v>
      </c>
      <c r="C69" s="38" t="s">
        <v>321</v>
      </c>
      <c r="D69" s="19">
        <v>17000</v>
      </c>
      <c r="E69" s="38">
        <v>20725</v>
      </c>
      <c r="F69" s="187" t="s">
        <v>465</v>
      </c>
      <c r="G69" s="2">
        <f t="shared" si="0"/>
        <v>10363</v>
      </c>
      <c r="H69" s="2"/>
      <c r="I69" s="2"/>
      <c r="J69" s="2"/>
      <c r="K69" s="2"/>
    </row>
    <row r="70" ht="28.5" customHeight="1" spans="1:11">
      <c r="A70" s="19">
        <v>76</v>
      </c>
      <c r="B70" s="37" t="s">
        <v>468</v>
      </c>
      <c r="C70" s="38" t="s">
        <v>321</v>
      </c>
      <c r="D70" s="19">
        <v>30000</v>
      </c>
      <c r="E70" s="38">
        <v>29725</v>
      </c>
      <c r="F70" s="187" t="s">
        <v>469</v>
      </c>
      <c r="G70" s="2">
        <f t="shared" si="0"/>
        <v>14863</v>
      </c>
      <c r="H70" s="2"/>
      <c r="I70" s="2"/>
      <c r="J70" s="2"/>
      <c r="K70" s="2"/>
    </row>
    <row r="71" ht="28.5" customHeight="1" spans="1:11">
      <c r="A71" s="19">
        <v>77</v>
      </c>
      <c r="B71" s="37" t="s">
        <v>470</v>
      </c>
      <c r="C71" s="38" t="s">
        <v>321</v>
      </c>
      <c r="D71" s="19">
        <v>32000</v>
      </c>
      <c r="E71" s="38">
        <v>31725</v>
      </c>
      <c r="F71" s="187" t="s">
        <v>471</v>
      </c>
      <c r="G71" s="2">
        <f t="shared" si="0"/>
        <v>15863</v>
      </c>
      <c r="H71" s="2"/>
      <c r="I71" s="2"/>
      <c r="J71" s="2"/>
      <c r="K71" s="2"/>
    </row>
    <row r="72" ht="28.5" customHeight="1" spans="1:11">
      <c r="A72" s="19">
        <v>79</v>
      </c>
      <c r="B72" s="37" t="s">
        <v>474</v>
      </c>
      <c r="C72" s="38" t="s">
        <v>321</v>
      </c>
      <c r="D72" s="19">
        <v>35000</v>
      </c>
      <c r="E72" s="38">
        <v>34725</v>
      </c>
      <c r="F72" s="187" t="s">
        <v>475</v>
      </c>
      <c r="G72" s="2">
        <f t="shared" si="0"/>
        <v>17363</v>
      </c>
      <c r="H72" s="2"/>
      <c r="I72" s="2"/>
      <c r="J72" s="2"/>
      <c r="K72" s="2"/>
    </row>
    <row r="73" ht="28.5" customHeight="1" spans="1:11">
      <c r="A73" s="19">
        <v>80</v>
      </c>
      <c r="B73" s="37" t="s">
        <v>476</v>
      </c>
      <c r="C73" s="38" t="s">
        <v>477</v>
      </c>
      <c r="D73" s="19">
        <v>52000</v>
      </c>
      <c r="E73" s="38">
        <v>51770</v>
      </c>
      <c r="F73" s="187" t="s">
        <v>478</v>
      </c>
      <c r="G73" s="2">
        <f t="shared" si="0"/>
        <v>25885</v>
      </c>
      <c r="H73" s="2"/>
      <c r="I73" s="2"/>
      <c r="J73" s="2"/>
      <c r="K73" s="2"/>
    </row>
    <row r="74" ht="28.5" customHeight="1" spans="1:11">
      <c r="A74" s="19">
        <v>81</v>
      </c>
      <c r="B74" s="37" t="s">
        <v>479</v>
      </c>
      <c r="C74" s="38" t="s">
        <v>321</v>
      </c>
      <c r="D74" s="19">
        <v>29000</v>
      </c>
      <c r="E74" s="38">
        <v>28770</v>
      </c>
      <c r="F74" s="187" t="s">
        <v>480</v>
      </c>
      <c r="G74" s="2">
        <f t="shared" si="0"/>
        <v>14385</v>
      </c>
      <c r="H74" s="2"/>
      <c r="I74" s="2"/>
      <c r="J74" s="2"/>
      <c r="K74" s="2"/>
    </row>
    <row r="75" ht="28.5" customHeight="1" spans="1:11">
      <c r="A75" s="19">
        <v>82</v>
      </c>
      <c r="B75" s="37" t="s">
        <v>481</v>
      </c>
      <c r="C75" s="38" t="s">
        <v>321</v>
      </c>
      <c r="D75" s="19">
        <v>15000</v>
      </c>
      <c r="E75" s="38">
        <v>14970</v>
      </c>
      <c r="F75" s="187" t="s">
        <v>482</v>
      </c>
      <c r="G75" s="2">
        <f t="shared" si="0"/>
        <v>7485</v>
      </c>
      <c r="H75" s="2"/>
      <c r="I75" s="2"/>
      <c r="J75" s="2"/>
      <c r="K75" s="2"/>
    </row>
    <row r="76" ht="28.5" customHeight="1" spans="1:11">
      <c r="A76" s="19">
        <v>83</v>
      </c>
      <c r="B76" s="37" t="s">
        <v>483</v>
      </c>
      <c r="C76" s="38" t="s">
        <v>321</v>
      </c>
      <c r="D76" s="19">
        <v>50000</v>
      </c>
      <c r="E76" s="38">
        <v>49770</v>
      </c>
      <c r="F76" s="187" t="s">
        <v>484</v>
      </c>
      <c r="G76" s="2">
        <f t="shared" si="0"/>
        <v>24885</v>
      </c>
      <c r="H76" s="2"/>
      <c r="I76" s="2"/>
      <c r="J76" s="2"/>
      <c r="K76" s="2"/>
    </row>
    <row r="77" ht="28.5" customHeight="1" spans="1:11">
      <c r="A77" s="19">
        <v>84</v>
      </c>
      <c r="B77" s="37" t="s">
        <v>485</v>
      </c>
      <c r="C77" s="38" t="s">
        <v>321</v>
      </c>
      <c r="D77" s="19">
        <v>16000</v>
      </c>
      <c r="E77" s="38">
        <v>15820</v>
      </c>
      <c r="F77" s="187" t="s">
        <v>486</v>
      </c>
      <c r="G77" s="2">
        <f t="shared" si="0"/>
        <v>7910</v>
      </c>
      <c r="H77" s="2"/>
      <c r="I77" s="2"/>
      <c r="J77" s="2"/>
      <c r="K77" s="2"/>
    </row>
    <row r="78" ht="28.5" customHeight="1" spans="1:11">
      <c r="A78" s="19">
        <v>85</v>
      </c>
      <c r="B78" s="37" t="s">
        <v>487</v>
      </c>
      <c r="C78" s="38" t="s">
        <v>321</v>
      </c>
      <c r="D78" s="19">
        <v>12000</v>
      </c>
      <c r="E78" s="38">
        <v>11925</v>
      </c>
      <c r="F78" s="187" t="s">
        <v>488</v>
      </c>
      <c r="G78" s="2">
        <f t="shared" si="0"/>
        <v>5963</v>
      </c>
      <c r="H78" s="2"/>
      <c r="I78" s="2"/>
      <c r="J78" s="2"/>
      <c r="K78" s="2"/>
    </row>
    <row r="79" ht="28.5" customHeight="1" spans="1:11">
      <c r="A79" s="19">
        <v>88</v>
      </c>
      <c r="B79" s="37" t="s">
        <v>493</v>
      </c>
      <c r="C79" s="38" t="s">
        <v>372</v>
      </c>
      <c r="D79" s="19">
        <v>65000</v>
      </c>
      <c r="E79" s="38">
        <v>64725</v>
      </c>
      <c r="F79" s="187" t="s">
        <v>494</v>
      </c>
      <c r="G79" s="2">
        <f t="shared" si="0"/>
        <v>32363</v>
      </c>
      <c r="H79" s="2"/>
      <c r="I79" s="2"/>
      <c r="J79" s="2"/>
      <c r="K79" s="2"/>
    </row>
    <row r="80" ht="28.5" customHeight="1" spans="1:11">
      <c r="A80" s="19">
        <v>89</v>
      </c>
      <c r="B80" s="37" t="s">
        <v>495</v>
      </c>
      <c r="C80" s="38" t="s">
        <v>424</v>
      </c>
      <c r="D80" s="19">
        <v>35000</v>
      </c>
      <c r="E80" s="38">
        <v>34725</v>
      </c>
      <c r="F80" s="187" t="s">
        <v>496</v>
      </c>
      <c r="G80" s="2">
        <f t="shared" si="0"/>
        <v>17363</v>
      </c>
      <c r="H80" s="2"/>
      <c r="I80" s="2"/>
      <c r="J80" s="2"/>
      <c r="K80" s="2"/>
    </row>
    <row r="81" ht="28.5" customHeight="1" spans="1:11">
      <c r="A81" s="19">
        <v>90</v>
      </c>
      <c r="B81" s="37" t="s">
        <v>497</v>
      </c>
      <c r="C81" s="38" t="s">
        <v>424</v>
      </c>
      <c r="D81" s="19">
        <v>45000</v>
      </c>
      <c r="E81" s="38">
        <v>44725</v>
      </c>
      <c r="F81" s="187" t="s">
        <v>498</v>
      </c>
      <c r="G81" s="2">
        <f t="shared" si="0"/>
        <v>22363</v>
      </c>
      <c r="H81" s="2"/>
      <c r="I81" s="2"/>
      <c r="J81" s="2"/>
      <c r="K81" s="2"/>
    </row>
    <row r="82" ht="28.5" customHeight="1" spans="1:11">
      <c r="A82" s="19">
        <v>91</v>
      </c>
      <c r="B82" s="37" t="s">
        <v>499</v>
      </c>
      <c r="C82" s="38" t="s">
        <v>424</v>
      </c>
      <c r="D82" s="19">
        <v>35000</v>
      </c>
      <c r="E82" s="38">
        <v>34725</v>
      </c>
      <c r="F82" s="187" t="s">
        <v>500</v>
      </c>
      <c r="G82" s="2">
        <f t="shared" si="0"/>
        <v>17363</v>
      </c>
      <c r="H82" s="2"/>
      <c r="I82" s="2"/>
      <c r="J82" s="2"/>
      <c r="K82" s="2"/>
    </row>
    <row r="83" ht="28.5" customHeight="1" spans="1:11">
      <c r="A83" s="19">
        <v>94</v>
      </c>
      <c r="B83" s="37" t="s">
        <v>505</v>
      </c>
      <c r="C83" s="38" t="s">
        <v>424</v>
      </c>
      <c r="D83" s="19">
        <v>50000</v>
      </c>
      <c r="E83" s="38">
        <v>49725</v>
      </c>
      <c r="F83" s="187" t="s">
        <v>506</v>
      </c>
      <c r="G83" s="2">
        <f t="shared" si="0"/>
        <v>24863</v>
      </c>
      <c r="H83" s="2"/>
      <c r="I83" s="2"/>
      <c r="J83" s="2"/>
      <c r="K83" s="2"/>
    </row>
    <row r="84" ht="28.5" customHeight="1" spans="1:11">
      <c r="A84" s="19">
        <v>95</v>
      </c>
      <c r="B84" s="37" t="s">
        <v>507</v>
      </c>
      <c r="C84" s="38" t="s">
        <v>453</v>
      </c>
      <c r="D84" s="19">
        <v>75085</v>
      </c>
      <c r="E84" s="38">
        <v>74810</v>
      </c>
      <c r="F84" s="187" t="s">
        <v>508</v>
      </c>
      <c r="G84" s="2">
        <f t="shared" si="0"/>
        <v>37405</v>
      </c>
      <c r="H84" s="2"/>
      <c r="I84" s="2"/>
      <c r="J84" s="2"/>
      <c r="K84" s="2"/>
    </row>
    <row r="85" ht="28.5" customHeight="1" spans="1:11">
      <c r="A85" s="19">
        <v>96</v>
      </c>
      <c r="B85" s="37" t="s">
        <v>509</v>
      </c>
      <c r="C85" s="38" t="s">
        <v>510</v>
      </c>
      <c r="D85" s="19">
        <v>35000</v>
      </c>
      <c r="E85" s="38">
        <v>34725</v>
      </c>
      <c r="F85" s="187" t="s">
        <v>511</v>
      </c>
      <c r="G85" s="2">
        <f t="shared" si="0"/>
        <v>17363</v>
      </c>
      <c r="H85" s="2"/>
      <c r="I85" s="2"/>
      <c r="J85" s="2"/>
      <c r="K85" s="2"/>
    </row>
    <row r="86" ht="28.5" customHeight="1" spans="1:11">
      <c r="A86" s="19">
        <v>97</v>
      </c>
      <c r="B86" s="37" t="s">
        <v>512</v>
      </c>
      <c r="C86" s="38" t="s">
        <v>321</v>
      </c>
      <c r="D86" s="19">
        <v>20000</v>
      </c>
      <c r="E86" s="38">
        <v>19775</v>
      </c>
      <c r="F86" s="187" t="s">
        <v>513</v>
      </c>
      <c r="G86" s="2">
        <f t="shared" si="0"/>
        <v>9888</v>
      </c>
      <c r="H86" s="2"/>
      <c r="I86" s="2"/>
      <c r="J86" s="2"/>
      <c r="K86" s="2"/>
    </row>
    <row r="87" ht="28.5" customHeight="1" spans="1:11">
      <c r="A87" s="19">
        <v>100</v>
      </c>
      <c r="B87" s="37" t="s">
        <v>518</v>
      </c>
      <c r="C87" s="38" t="s">
        <v>519</v>
      </c>
      <c r="D87" s="38">
        <v>74994</v>
      </c>
      <c r="E87" s="38">
        <v>71119</v>
      </c>
      <c r="F87" s="187" t="s">
        <v>520</v>
      </c>
      <c r="G87" s="2">
        <f t="shared" si="0"/>
        <v>35560</v>
      </c>
      <c r="H87" s="2"/>
      <c r="I87" s="2"/>
      <c r="J87" s="2"/>
      <c r="K87" s="2"/>
    </row>
    <row r="88" ht="28.5" customHeight="1" spans="1:11">
      <c r="A88" s="19">
        <v>101</v>
      </c>
      <c r="B88" s="37" t="s">
        <v>521</v>
      </c>
      <c r="C88" s="38" t="s">
        <v>316</v>
      </c>
      <c r="D88" s="19">
        <v>32905</v>
      </c>
      <c r="E88" s="38">
        <v>32630</v>
      </c>
      <c r="F88" s="187" t="s">
        <v>522</v>
      </c>
      <c r="G88" s="2">
        <f t="shared" si="0"/>
        <v>16315</v>
      </c>
      <c r="H88" s="2"/>
      <c r="I88" s="2"/>
      <c r="J88" s="2"/>
      <c r="K88" s="2"/>
    </row>
    <row r="89" ht="28.5" customHeight="1" spans="1:11">
      <c r="A89" s="19">
        <v>102</v>
      </c>
      <c r="B89" s="37" t="s">
        <v>523</v>
      </c>
      <c r="C89" s="38" t="s">
        <v>316</v>
      </c>
      <c r="D89" s="19">
        <v>32905</v>
      </c>
      <c r="E89" s="38">
        <v>32630</v>
      </c>
      <c r="F89" s="187" t="s">
        <v>524</v>
      </c>
      <c r="G89" s="2">
        <f t="shared" si="0"/>
        <v>16315</v>
      </c>
      <c r="H89" s="2"/>
      <c r="I89" s="2"/>
      <c r="J89" s="2"/>
      <c r="K89" s="2"/>
    </row>
    <row r="90" ht="28.5" customHeight="1" spans="1:11">
      <c r="A90" s="19">
        <v>103</v>
      </c>
      <c r="B90" s="37" t="s">
        <v>525</v>
      </c>
      <c r="C90" s="38" t="s">
        <v>321</v>
      </c>
      <c r="D90" s="19">
        <v>50000</v>
      </c>
      <c r="E90" s="38">
        <v>49725</v>
      </c>
      <c r="F90" s="187" t="s">
        <v>526</v>
      </c>
      <c r="G90" s="2">
        <f t="shared" si="0"/>
        <v>24863</v>
      </c>
      <c r="H90" s="2"/>
      <c r="I90" s="2"/>
      <c r="J90" s="2"/>
      <c r="K90" s="2"/>
    </row>
    <row r="91" ht="28.5" customHeight="1" spans="1:11">
      <c r="A91" s="19">
        <v>104</v>
      </c>
      <c r="B91" s="37" t="s">
        <v>527</v>
      </c>
      <c r="C91" s="38" t="s">
        <v>321</v>
      </c>
      <c r="D91" s="19">
        <v>35000</v>
      </c>
      <c r="E91" s="38">
        <v>34725</v>
      </c>
      <c r="F91" s="187" t="s">
        <v>528</v>
      </c>
      <c r="G91" s="2">
        <f t="shared" si="0"/>
        <v>17363</v>
      </c>
      <c r="H91" s="2"/>
      <c r="I91" s="2"/>
      <c r="J91" s="2"/>
      <c r="K91" s="2"/>
    </row>
    <row r="92" ht="28.5" customHeight="1" spans="1:11">
      <c r="A92" s="19">
        <v>105</v>
      </c>
      <c r="B92" s="37" t="s">
        <v>529</v>
      </c>
      <c r="C92" s="38" t="s">
        <v>321</v>
      </c>
      <c r="D92" s="19">
        <v>23460</v>
      </c>
      <c r="E92" s="38">
        <v>19585</v>
      </c>
      <c r="F92" s="187" t="s">
        <v>530</v>
      </c>
      <c r="G92" s="2">
        <f t="shared" si="0"/>
        <v>9793</v>
      </c>
      <c r="H92" s="2"/>
      <c r="I92" s="2"/>
      <c r="J92" s="2"/>
      <c r="K92" s="2"/>
    </row>
    <row r="93" ht="28.5" customHeight="1" spans="1:11">
      <c r="A93" s="19">
        <v>106</v>
      </c>
      <c r="B93" s="37" t="s">
        <v>531</v>
      </c>
      <c r="C93" s="38" t="s">
        <v>321</v>
      </c>
      <c r="D93" s="19">
        <v>35000</v>
      </c>
      <c r="E93" s="38">
        <v>34725</v>
      </c>
      <c r="F93" s="187" t="s">
        <v>532</v>
      </c>
      <c r="G93" s="2">
        <f t="shared" si="0"/>
        <v>17363</v>
      </c>
      <c r="H93" s="2"/>
      <c r="I93" s="2"/>
      <c r="J93" s="2"/>
      <c r="K93" s="2"/>
    </row>
    <row r="94" ht="28.5" customHeight="1" spans="1:11">
      <c r="A94" s="19">
        <v>107</v>
      </c>
      <c r="B94" s="37" t="s">
        <v>533</v>
      </c>
      <c r="C94" s="38" t="s">
        <v>534</v>
      </c>
      <c r="D94" s="38">
        <v>110277</v>
      </c>
      <c r="E94" s="38">
        <v>106402</v>
      </c>
      <c r="F94" s="187" t="s">
        <v>535</v>
      </c>
      <c r="G94" s="2">
        <f t="shared" si="0"/>
        <v>53201</v>
      </c>
      <c r="H94" s="2"/>
      <c r="I94" s="2"/>
      <c r="J94" s="2"/>
      <c r="K94" s="2"/>
    </row>
    <row r="95" ht="28.5" customHeight="1" spans="1:11">
      <c r="A95" s="19">
        <v>108</v>
      </c>
      <c r="B95" s="37" t="s">
        <v>536</v>
      </c>
      <c r="C95" s="38" t="s">
        <v>537</v>
      </c>
      <c r="D95" s="19">
        <v>54103</v>
      </c>
      <c r="E95" s="38">
        <v>53962</v>
      </c>
      <c r="F95" s="187" t="s">
        <v>538</v>
      </c>
      <c r="G95" s="2">
        <f t="shared" si="0"/>
        <v>26981</v>
      </c>
      <c r="H95" s="2"/>
      <c r="I95" s="2"/>
      <c r="J95" s="2"/>
      <c r="K95" s="2"/>
    </row>
    <row r="96" ht="28.5" customHeight="1" spans="1:11">
      <c r="A96" s="19">
        <v>109</v>
      </c>
      <c r="B96" s="37" t="s">
        <v>539</v>
      </c>
      <c r="C96" s="38" t="s">
        <v>316</v>
      </c>
      <c r="D96" s="19">
        <v>42275</v>
      </c>
      <c r="E96" s="38">
        <v>42000</v>
      </c>
      <c r="F96" s="187" t="s">
        <v>540</v>
      </c>
      <c r="G96" s="2">
        <f t="shared" si="0"/>
        <v>21000</v>
      </c>
      <c r="H96" s="2"/>
      <c r="I96" s="2"/>
      <c r="J96" s="2"/>
      <c r="K96" s="2"/>
    </row>
    <row r="97" ht="28.5" customHeight="1" spans="1:11">
      <c r="A97" s="19">
        <v>110</v>
      </c>
      <c r="B97" s="37" t="s">
        <v>541</v>
      </c>
      <c r="C97" s="38" t="s">
        <v>542</v>
      </c>
      <c r="D97" s="19">
        <v>75085</v>
      </c>
      <c r="E97" s="38">
        <v>71210</v>
      </c>
      <c r="F97" s="187" t="s">
        <v>543</v>
      </c>
      <c r="G97" s="2">
        <f t="shared" si="0"/>
        <v>35605</v>
      </c>
      <c r="H97" s="2"/>
      <c r="I97" s="2"/>
      <c r="J97" s="2"/>
      <c r="K97" s="2"/>
    </row>
    <row r="98" ht="28.5" customHeight="1" spans="1:11">
      <c r="A98" s="19">
        <v>111</v>
      </c>
      <c r="B98" s="37" t="s">
        <v>544</v>
      </c>
      <c r="C98" s="38" t="s">
        <v>545</v>
      </c>
      <c r="D98" s="19">
        <v>170000</v>
      </c>
      <c r="E98" s="38">
        <v>169725</v>
      </c>
      <c r="F98" s="187" t="s">
        <v>546</v>
      </c>
      <c r="G98" s="2">
        <f t="shared" si="0"/>
        <v>84863</v>
      </c>
      <c r="H98" s="2"/>
      <c r="I98" s="2"/>
      <c r="J98" s="2"/>
      <c r="K98" s="2"/>
    </row>
    <row r="99" ht="28.5" customHeight="1" spans="1:11">
      <c r="A99" s="19">
        <v>112</v>
      </c>
      <c r="B99" s="37" t="s">
        <v>547</v>
      </c>
      <c r="C99" s="38" t="s">
        <v>321</v>
      </c>
      <c r="D99" s="19">
        <v>24460</v>
      </c>
      <c r="E99" s="38">
        <v>24185</v>
      </c>
      <c r="F99" s="187" t="s">
        <v>548</v>
      </c>
      <c r="G99" s="2">
        <f t="shared" si="0"/>
        <v>12093</v>
      </c>
      <c r="H99" s="2"/>
      <c r="I99" s="2"/>
      <c r="J99" s="2"/>
      <c r="K99" s="2"/>
    </row>
    <row r="100" ht="28.5" customHeight="1" spans="1:11">
      <c r="A100" s="19">
        <v>113</v>
      </c>
      <c r="B100" s="21" t="s">
        <v>549</v>
      </c>
      <c r="C100" s="38" t="s">
        <v>321</v>
      </c>
      <c r="D100" s="19">
        <v>23460</v>
      </c>
      <c r="E100" s="38">
        <v>23185</v>
      </c>
      <c r="F100" s="187" t="s">
        <v>550</v>
      </c>
      <c r="G100" s="2">
        <f t="shared" si="0"/>
        <v>11593</v>
      </c>
      <c r="H100" s="2"/>
      <c r="I100" s="2"/>
      <c r="J100" s="2"/>
      <c r="K100" s="2"/>
    </row>
    <row r="101" ht="28.5" customHeight="1" spans="1:11">
      <c r="A101" s="19">
        <v>114</v>
      </c>
      <c r="B101" s="37" t="s">
        <v>551</v>
      </c>
      <c r="C101" s="38" t="s">
        <v>321</v>
      </c>
      <c r="D101" s="19">
        <v>39632</v>
      </c>
      <c r="E101" s="38">
        <v>40020</v>
      </c>
      <c r="F101" s="187" t="s">
        <v>552</v>
      </c>
      <c r="G101" s="2">
        <f t="shared" si="0"/>
        <v>20010</v>
      </c>
      <c r="H101" s="2"/>
      <c r="I101" s="2"/>
      <c r="J101" s="2"/>
      <c r="K101" s="2"/>
    </row>
    <row r="102" ht="28.5" customHeight="1" spans="1:11">
      <c r="A102" s="19">
        <v>115</v>
      </c>
      <c r="B102" s="37" t="s">
        <v>553</v>
      </c>
      <c r="C102" s="38" t="s">
        <v>321</v>
      </c>
      <c r="D102" s="19">
        <v>20460</v>
      </c>
      <c r="E102" s="38">
        <v>20185</v>
      </c>
      <c r="F102" s="187" t="s">
        <v>554</v>
      </c>
      <c r="G102" s="2">
        <f t="shared" si="0"/>
        <v>10093</v>
      </c>
      <c r="H102" s="2"/>
      <c r="I102" s="2"/>
      <c r="J102" s="2"/>
      <c r="K102" s="2"/>
    </row>
    <row r="103" ht="28.5" customHeight="1" spans="1:11">
      <c r="A103" s="19">
        <v>116</v>
      </c>
      <c r="B103" s="37" t="s">
        <v>555</v>
      </c>
      <c r="C103" s="38" t="s">
        <v>321</v>
      </c>
      <c r="D103" s="19">
        <v>18260</v>
      </c>
      <c r="E103" s="38">
        <v>18035</v>
      </c>
      <c r="F103" s="187" t="s">
        <v>556</v>
      </c>
      <c r="G103" s="2">
        <f t="shared" si="0"/>
        <v>9018</v>
      </c>
      <c r="H103" s="2"/>
      <c r="I103" s="2"/>
      <c r="J103" s="2"/>
      <c r="K103" s="2"/>
    </row>
    <row r="104" ht="28.5" customHeight="1" spans="1:11">
      <c r="A104" s="19">
        <v>117</v>
      </c>
      <c r="B104" s="37" t="s">
        <v>557</v>
      </c>
      <c r="C104" s="38" t="s">
        <v>321</v>
      </c>
      <c r="D104" s="19">
        <v>25000</v>
      </c>
      <c r="E104" s="19">
        <v>24725</v>
      </c>
      <c r="F104" s="187" t="s">
        <v>558</v>
      </c>
      <c r="G104" s="2">
        <f t="shared" si="0"/>
        <v>12363</v>
      </c>
      <c r="H104" s="2"/>
      <c r="I104" s="2"/>
      <c r="J104" s="2"/>
      <c r="K104" s="2"/>
    </row>
    <row r="105" ht="28.5" customHeight="1" spans="1:11">
      <c r="A105" s="19">
        <v>118</v>
      </c>
      <c r="B105" s="37" t="s">
        <v>559</v>
      </c>
      <c r="C105" s="38" t="s">
        <v>321</v>
      </c>
      <c r="D105" s="19">
        <v>25000</v>
      </c>
      <c r="E105" s="19">
        <v>24725</v>
      </c>
      <c r="F105" s="187" t="s">
        <v>560</v>
      </c>
      <c r="G105" s="2">
        <f t="shared" si="0"/>
        <v>12363</v>
      </c>
      <c r="H105" s="2"/>
      <c r="I105" s="2"/>
      <c r="J105" s="2"/>
      <c r="K105" s="2"/>
    </row>
    <row r="106" ht="28.5" customHeight="1" spans="1:11">
      <c r="A106" s="19">
        <v>119</v>
      </c>
      <c r="B106" s="37" t="s">
        <v>561</v>
      </c>
      <c r="C106" s="38" t="s">
        <v>477</v>
      </c>
      <c r="D106" s="19">
        <v>52000</v>
      </c>
      <c r="E106" s="19">
        <v>51725</v>
      </c>
      <c r="F106" s="187" t="s">
        <v>562</v>
      </c>
      <c r="G106" s="2">
        <f t="shared" si="0"/>
        <v>25863</v>
      </c>
      <c r="H106" s="2"/>
      <c r="I106" s="2"/>
      <c r="J106" s="2"/>
      <c r="K106" s="2"/>
    </row>
    <row r="107" ht="28.5" customHeight="1" spans="1:11">
      <c r="A107" s="19">
        <v>120</v>
      </c>
      <c r="B107" s="37" t="s">
        <v>563</v>
      </c>
      <c r="C107" s="38" t="s">
        <v>321</v>
      </c>
      <c r="D107" s="19">
        <v>22000</v>
      </c>
      <c r="E107" s="38">
        <v>21770</v>
      </c>
      <c r="F107" s="187" t="s">
        <v>564</v>
      </c>
      <c r="G107" s="2">
        <f t="shared" si="0"/>
        <v>10885</v>
      </c>
      <c r="H107" s="2"/>
      <c r="I107" s="2"/>
      <c r="J107" s="2"/>
      <c r="K107" s="2"/>
    </row>
    <row r="108" ht="28.5" customHeight="1" spans="1:11">
      <c r="A108" s="19">
        <v>122</v>
      </c>
      <c r="B108" s="37" t="s">
        <v>568</v>
      </c>
      <c r="C108" s="38" t="s">
        <v>316</v>
      </c>
      <c r="D108" s="19">
        <v>51516</v>
      </c>
      <c r="E108" s="38">
        <v>51241</v>
      </c>
      <c r="F108" s="187" t="s">
        <v>569</v>
      </c>
      <c r="G108" s="2">
        <f t="shared" si="0"/>
        <v>25621</v>
      </c>
      <c r="H108" s="2"/>
      <c r="I108" s="2"/>
      <c r="J108" s="2"/>
      <c r="K108" s="2"/>
    </row>
    <row r="109" ht="28.5" customHeight="1" spans="1:11">
      <c r="A109" s="19">
        <v>123</v>
      </c>
      <c r="B109" s="37" t="s">
        <v>570</v>
      </c>
      <c r="C109" s="38" t="s">
        <v>571</v>
      </c>
      <c r="D109" s="19">
        <v>62759</v>
      </c>
      <c r="E109" s="38">
        <v>58884</v>
      </c>
      <c r="F109" s="187" t="s">
        <v>572</v>
      </c>
      <c r="G109" s="2">
        <f t="shared" si="0"/>
        <v>29442</v>
      </c>
      <c r="H109" s="2"/>
      <c r="I109" s="2"/>
      <c r="J109" s="2"/>
      <c r="K109" s="2"/>
    </row>
    <row r="110" ht="28.5" customHeight="1" spans="1:11">
      <c r="A110" s="19">
        <v>124</v>
      </c>
      <c r="B110" s="37" t="s">
        <v>573</v>
      </c>
      <c r="C110" s="38" t="s">
        <v>316</v>
      </c>
      <c r="D110" s="38">
        <v>30000</v>
      </c>
      <c r="E110" s="38">
        <v>26125</v>
      </c>
      <c r="F110" s="187" t="s">
        <v>574</v>
      </c>
      <c r="G110" s="2">
        <f t="shared" si="0"/>
        <v>13063</v>
      </c>
      <c r="H110" s="2"/>
      <c r="I110" s="2"/>
      <c r="J110" s="2"/>
      <c r="K110" s="2"/>
    </row>
    <row r="111" ht="28.5" customHeight="1" spans="1:11">
      <c r="A111" s="19">
        <v>125</v>
      </c>
      <c r="B111" s="37" t="s">
        <v>575</v>
      </c>
      <c r="C111" s="38" t="s">
        <v>321</v>
      </c>
      <c r="D111" s="19">
        <v>35000</v>
      </c>
      <c r="E111" s="38">
        <v>34725</v>
      </c>
      <c r="F111" s="187" t="s">
        <v>576</v>
      </c>
      <c r="G111" s="2">
        <f t="shared" si="0"/>
        <v>17363</v>
      </c>
      <c r="H111" s="2"/>
      <c r="I111" s="2"/>
      <c r="J111" s="2"/>
      <c r="K111" s="2"/>
    </row>
    <row r="112" ht="28.5" customHeight="1" spans="1:11">
      <c r="A112" s="19">
        <v>126</v>
      </c>
      <c r="B112" s="37" t="s">
        <v>577</v>
      </c>
      <c r="C112" s="38" t="s">
        <v>372</v>
      </c>
      <c r="D112" s="19">
        <v>50000</v>
      </c>
      <c r="E112" s="38">
        <v>49725</v>
      </c>
      <c r="F112" s="187" t="s">
        <v>578</v>
      </c>
      <c r="G112" s="2">
        <f t="shared" si="0"/>
        <v>24863</v>
      </c>
      <c r="H112" s="2"/>
      <c r="I112" s="2"/>
      <c r="J112" s="2"/>
      <c r="K112" s="2"/>
    </row>
    <row r="113" ht="28.5" customHeight="1" spans="1:11">
      <c r="A113" s="19">
        <v>127</v>
      </c>
      <c r="B113" s="37" t="s">
        <v>579</v>
      </c>
      <c r="C113" s="38" t="s">
        <v>321</v>
      </c>
      <c r="D113" s="38">
        <v>30000</v>
      </c>
      <c r="E113" s="38">
        <v>29725</v>
      </c>
      <c r="F113" s="187" t="s">
        <v>580</v>
      </c>
      <c r="G113" s="2">
        <f t="shared" si="0"/>
        <v>14863</v>
      </c>
      <c r="H113" s="2"/>
      <c r="I113" s="2"/>
      <c r="J113" s="2"/>
      <c r="K113" s="2"/>
    </row>
    <row r="114" ht="28.5" customHeight="1" spans="1:11">
      <c r="A114" s="19">
        <v>128</v>
      </c>
      <c r="B114" s="37" t="s">
        <v>581</v>
      </c>
      <c r="C114" s="38" t="s">
        <v>321</v>
      </c>
      <c r="D114" s="19">
        <v>24460</v>
      </c>
      <c r="E114" s="38">
        <v>24185</v>
      </c>
      <c r="F114" s="187" t="s">
        <v>582</v>
      </c>
      <c r="G114" s="2">
        <f t="shared" si="0"/>
        <v>12093</v>
      </c>
      <c r="H114" s="2"/>
      <c r="I114" s="2"/>
      <c r="J114" s="2"/>
      <c r="K114" s="2"/>
    </row>
    <row r="115" ht="28.5" customHeight="1" spans="1:11">
      <c r="A115" s="19">
        <v>129</v>
      </c>
      <c r="B115" s="37" t="s">
        <v>583</v>
      </c>
      <c r="C115" s="38" t="s">
        <v>321</v>
      </c>
      <c r="D115" s="38">
        <v>23000</v>
      </c>
      <c r="E115" s="38">
        <v>22725</v>
      </c>
      <c r="F115" s="187" t="s">
        <v>584</v>
      </c>
      <c r="G115" s="2">
        <f t="shared" si="0"/>
        <v>11363</v>
      </c>
      <c r="H115" s="2"/>
      <c r="I115" s="2"/>
      <c r="J115" s="2"/>
      <c r="K115" s="2"/>
    </row>
    <row r="116" ht="28.5" customHeight="1" spans="1:11">
      <c r="A116" s="19">
        <v>130</v>
      </c>
      <c r="B116" s="37" t="s">
        <v>585</v>
      </c>
      <c r="C116" s="38" t="s">
        <v>321</v>
      </c>
      <c r="D116" s="19">
        <v>32460</v>
      </c>
      <c r="E116" s="38">
        <v>32185</v>
      </c>
      <c r="F116" s="187" t="s">
        <v>586</v>
      </c>
      <c r="G116" s="2">
        <f t="shared" si="0"/>
        <v>16093</v>
      </c>
      <c r="H116" s="2"/>
      <c r="I116" s="2"/>
      <c r="J116" s="2"/>
      <c r="K116" s="2"/>
    </row>
    <row r="117" ht="28.5" customHeight="1" spans="1:11">
      <c r="A117" s="19">
        <v>131</v>
      </c>
      <c r="B117" s="37" t="s">
        <v>587</v>
      </c>
      <c r="C117" s="38" t="s">
        <v>321</v>
      </c>
      <c r="D117" s="38">
        <v>22000</v>
      </c>
      <c r="E117" s="38">
        <v>21725</v>
      </c>
      <c r="F117" s="187" t="s">
        <v>588</v>
      </c>
      <c r="G117" s="2">
        <f t="shared" si="0"/>
        <v>10863</v>
      </c>
      <c r="H117" s="2"/>
      <c r="I117" s="2"/>
      <c r="J117" s="2"/>
      <c r="K117" s="2"/>
    </row>
    <row r="118" ht="28.5" customHeight="1" spans="1:11">
      <c r="A118" s="19">
        <v>132</v>
      </c>
      <c r="B118" s="37" t="s">
        <v>589</v>
      </c>
      <c r="C118" s="38" t="s">
        <v>321</v>
      </c>
      <c r="D118" s="19">
        <v>35000</v>
      </c>
      <c r="E118" s="38">
        <v>34725</v>
      </c>
      <c r="F118" s="187" t="s">
        <v>590</v>
      </c>
      <c r="G118" s="2">
        <f t="shared" si="0"/>
        <v>17363</v>
      </c>
      <c r="H118" s="2"/>
      <c r="I118" s="2"/>
      <c r="J118" s="2"/>
      <c r="K118" s="2"/>
    </row>
    <row r="119" ht="28.5" customHeight="1" spans="1:11">
      <c r="A119" s="19">
        <v>133</v>
      </c>
      <c r="B119" s="37" t="s">
        <v>591</v>
      </c>
      <c r="C119" s="38" t="s">
        <v>321</v>
      </c>
      <c r="D119" s="38">
        <v>30000</v>
      </c>
      <c r="E119" s="38">
        <v>29725</v>
      </c>
      <c r="F119" s="187" t="s">
        <v>592</v>
      </c>
      <c r="G119" s="2">
        <f t="shared" si="0"/>
        <v>14863</v>
      </c>
      <c r="H119" s="2"/>
      <c r="I119" s="2"/>
      <c r="J119" s="2"/>
      <c r="K119" s="2"/>
    </row>
    <row r="120" ht="28.5" customHeight="1" spans="1:11">
      <c r="A120" s="19">
        <v>134</v>
      </c>
      <c r="B120" s="37" t="s">
        <v>593</v>
      </c>
      <c r="C120" s="38" t="s">
        <v>321</v>
      </c>
      <c r="D120" s="38">
        <v>17500</v>
      </c>
      <c r="E120" s="38">
        <v>17275</v>
      </c>
      <c r="F120" s="187" t="s">
        <v>594</v>
      </c>
      <c r="G120" s="2">
        <f t="shared" si="0"/>
        <v>8638</v>
      </c>
      <c r="H120" s="2"/>
      <c r="I120" s="2"/>
      <c r="J120" s="2"/>
      <c r="K120" s="2"/>
    </row>
    <row r="121" ht="28.5" customHeight="1" spans="1:11">
      <c r="A121" s="19">
        <v>135</v>
      </c>
      <c r="B121" s="37" t="s">
        <v>595</v>
      </c>
      <c r="C121" s="38" t="s">
        <v>321</v>
      </c>
      <c r="D121" s="38">
        <v>18000</v>
      </c>
      <c r="E121" s="38">
        <v>17775</v>
      </c>
      <c r="F121" s="187" t="s">
        <v>596</v>
      </c>
      <c r="G121" s="2">
        <f t="shared" si="0"/>
        <v>8888</v>
      </c>
      <c r="H121" s="2"/>
      <c r="I121" s="2"/>
      <c r="J121" s="2"/>
      <c r="K121" s="2"/>
    </row>
    <row r="122" ht="28.5" customHeight="1" spans="1:11">
      <c r="A122" s="19">
        <v>136</v>
      </c>
      <c r="B122" s="37" t="s">
        <v>597</v>
      </c>
      <c r="C122" s="38" t="s">
        <v>321</v>
      </c>
      <c r="D122" s="38">
        <v>20000</v>
      </c>
      <c r="E122" s="38">
        <v>19775</v>
      </c>
      <c r="F122" s="187" t="s">
        <v>598</v>
      </c>
      <c r="G122" s="2">
        <f t="shared" si="0"/>
        <v>9888</v>
      </c>
      <c r="H122" s="2"/>
      <c r="I122" s="2"/>
      <c r="J122" s="2"/>
      <c r="K122" s="2"/>
    </row>
    <row r="123" ht="28.5" customHeight="1" spans="1:11">
      <c r="A123" s="19">
        <v>137</v>
      </c>
      <c r="B123" s="37" t="s">
        <v>599</v>
      </c>
      <c r="C123" s="38" t="s">
        <v>321</v>
      </c>
      <c r="D123" s="38">
        <v>18000</v>
      </c>
      <c r="E123" s="38">
        <v>17775</v>
      </c>
      <c r="F123" s="187" t="s">
        <v>600</v>
      </c>
      <c r="G123" s="2">
        <f t="shared" si="0"/>
        <v>8888</v>
      </c>
      <c r="H123" s="2"/>
      <c r="I123" s="2"/>
      <c r="J123" s="2"/>
      <c r="K123" s="2"/>
    </row>
    <row r="124" ht="28.5" customHeight="1" spans="1:11">
      <c r="A124" s="19">
        <v>138</v>
      </c>
      <c r="B124" s="37" t="s">
        <v>601</v>
      </c>
      <c r="C124" s="38" t="s">
        <v>321</v>
      </c>
      <c r="D124" s="38">
        <v>29000</v>
      </c>
      <c r="E124" s="38">
        <v>28725</v>
      </c>
      <c r="F124" s="187" t="s">
        <v>602</v>
      </c>
      <c r="G124" s="2">
        <f t="shared" si="0"/>
        <v>14363</v>
      </c>
      <c r="H124" s="2"/>
      <c r="I124" s="2"/>
      <c r="J124" s="2"/>
      <c r="K124" s="2"/>
    </row>
    <row r="125" ht="28.5" customHeight="1" spans="1:11">
      <c r="A125" s="19">
        <v>139</v>
      </c>
      <c r="B125" s="37" t="s">
        <v>603</v>
      </c>
      <c r="C125" s="38" t="s">
        <v>321</v>
      </c>
      <c r="D125" s="38">
        <v>18000</v>
      </c>
      <c r="E125" s="38">
        <v>17775</v>
      </c>
      <c r="F125" s="187" t="s">
        <v>604</v>
      </c>
      <c r="G125" s="2">
        <f t="shared" si="0"/>
        <v>8888</v>
      </c>
      <c r="H125" s="2"/>
      <c r="I125" s="2"/>
      <c r="J125" s="2"/>
      <c r="K125" s="2"/>
    </row>
    <row r="126" ht="28.5" customHeight="1" spans="1:11">
      <c r="A126" s="19">
        <v>140</v>
      </c>
      <c r="B126" s="37" t="s">
        <v>605</v>
      </c>
      <c r="C126" s="38" t="s">
        <v>321</v>
      </c>
      <c r="D126" s="38">
        <v>18000</v>
      </c>
      <c r="E126" s="38">
        <v>17775</v>
      </c>
      <c r="F126" s="187" t="s">
        <v>606</v>
      </c>
      <c r="G126" s="2">
        <f t="shared" si="0"/>
        <v>8888</v>
      </c>
      <c r="H126" s="2"/>
      <c r="I126" s="2"/>
      <c r="J126" s="2"/>
      <c r="K126" s="2"/>
    </row>
    <row r="127" ht="28.5" customHeight="1" spans="1:11">
      <c r="A127" s="19">
        <v>141</v>
      </c>
      <c r="B127" s="37" t="s">
        <v>607</v>
      </c>
      <c r="C127" s="38" t="s">
        <v>321</v>
      </c>
      <c r="D127" s="38">
        <v>26000</v>
      </c>
      <c r="E127" s="38">
        <v>25725</v>
      </c>
      <c r="F127" s="187" t="s">
        <v>608</v>
      </c>
      <c r="G127" s="2">
        <f t="shared" si="0"/>
        <v>12863</v>
      </c>
      <c r="H127" s="2"/>
      <c r="I127" s="2"/>
      <c r="J127" s="2"/>
      <c r="K127" s="2"/>
    </row>
    <row r="128" ht="28.5" customHeight="1" spans="1:11">
      <c r="A128" s="19">
        <v>143</v>
      </c>
      <c r="B128" s="37" t="s">
        <v>611</v>
      </c>
      <c r="C128" s="38" t="s">
        <v>321</v>
      </c>
      <c r="D128" s="38">
        <v>21000</v>
      </c>
      <c r="E128" s="38">
        <v>20725</v>
      </c>
      <c r="F128" s="187" t="s">
        <v>612</v>
      </c>
      <c r="G128" s="2">
        <f t="shared" si="0"/>
        <v>10363</v>
      </c>
      <c r="H128" s="2"/>
      <c r="I128" s="2"/>
      <c r="J128" s="2"/>
      <c r="K128" s="2"/>
    </row>
    <row r="129" ht="28.5" customHeight="1" spans="1:11">
      <c r="A129" s="19">
        <v>146</v>
      </c>
      <c r="B129" s="37" t="s">
        <v>617</v>
      </c>
      <c r="C129" s="38" t="s">
        <v>477</v>
      </c>
      <c r="D129" s="19">
        <v>52000</v>
      </c>
      <c r="E129" s="38">
        <v>51725</v>
      </c>
      <c r="F129" s="187" t="s">
        <v>618</v>
      </c>
      <c r="G129" s="2">
        <f t="shared" si="0"/>
        <v>25863</v>
      </c>
      <c r="H129" s="2"/>
      <c r="I129" s="2"/>
      <c r="J129" s="2"/>
      <c r="K129" s="2"/>
    </row>
    <row r="130" ht="28.5" customHeight="1" spans="1:11">
      <c r="A130" s="19">
        <v>147</v>
      </c>
      <c r="B130" s="37" t="s">
        <v>619</v>
      </c>
      <c r="C130" s="38" t="s">
        <v>477</v>
      </c>
      <c r="D130" s="19">
        <v>52000</v>
      </c>
      <c r="E130" s="38">
        <v>51725</v>
      </c>
      <c r="F130" s="187" t="s">
        <v>620</v>
      </c>
      <c r="G130" s="2">
        <f t="shared" si="0"/>
        <v>25863</v>
      </c>
      <c r="H130" s="2"/>
      <c r="I130" s="2"/>
      <c r="J130" s="2"/>
      <c r="K130" s="2"/>
    </row>
    <row r="131" ht="28.5" customHeight="1" spans="1:11">
      <c r="A131" s="19">
        <v>148</v>
      </c>
      <c r="B131" s="37" t="s">
        <v>621</v>
      </c>
      <c r="C131" s="38" t="s">
        <v>424</v>
      </c>
      <c r="D131" s="19">
        <v>18000</v>
      </c>
      <c r="E131" s="38">
        <v>17775</v>
      </c>
      <c r="F131" s="187" t="s">
        <v>622</v>
      </c>
      <c r="G131" s="2">
        <f t="shared" si="0"/>
        <v>8888</v>
      </c>
      <c r="H131" s="2"/>
      <c r="I131" s="2"/>
      <c r="J131" s="2"/>
      <c r="K131" s="2"/>
    </row>
    <row r="132" ht="28.5" customHeight="1" spans="1:11">
      <c r="A132" s="19">
        <v>149</v>
      </c>
      <c r="B132" s="37" t="s">
        <v>623</v>
      </c>
      <c r="C132" s="38" t="s">
        <v>424</v>
      </c>
      <c r="D132" s="19">
        <v>18000</v>
      </c>
      <c r="E132" s="38">
        <v>17775</v>
      </c>
      <c r="F132" s="187" t="s">
        <v>624</v>
      </c>
      <c r="G132" s="2">
        <f t="shared" si="0"/>
        <v>8888</v>
      </c>
      <c r="H132" s="2"/>
      <c r="I132" s="2"/>
      <c r="J132" s="2"/>
      <c r="K132" s="2"/>
    </row>
    <row r="133" ht="28.5" customHeight="1" spans="1:11">
      <c r="A133" s="19">
        <v>150</v>
      </c>
      <c r="B133" s="37" t="s">
        <v>625</v>
      </c>
      <c r="C133" s="38" t="s">
        <v>372</v>
      </c>
      <c r="D133" s="19">
        <v>30000</v>
      </c>
      <c r="E133" s="38">
        <v>29725</v>
      </c>
      <c r="F133" s="187" t="s">
        <v>626</v>
      </c>
      <c r="G133" s="2">
        <f t="shared" si="0"/>
        <v>14863</v>
      </c>
      <c r="H133" s="2"/>
      <c r="I133" s="2"/>
      <c r="J133" s="2"/>
      <c r="K133" s="2"/>
    </row>
    <row r="134" ht="28.5" customHeight="1" spans="1:11">
      <c r="A134" s="19">
        <v>151</v>
      </c>
      <c r="B134" s="37" t="s">
        <v>627</v>
      </c>
      <c r="C134" s="38" t="s">
        <v>321</v>
      </c>
      <c r="D134" s="19">
        <v>25000</v>
      </c>
      <c r="E134" s="38">
        <v>24725</v>
      </c>
      <c r="F134" s="187" t="s">
        <v>628</v>
      </c>
      <c r="G134" s="2">
        <f t="shared" si="0"/>
        <v>12363</v>
      </c>
      <c r="H134" s="2"/>
      <c r="I134" s="2"/>
      <c r="J134" s="2"/>
      <c r="K134" s="2"/>
    </row>
    <row r="135" ht="28.5" customHeight="1" spans="1:11">
      <c r="A135" s="19">
        <v>152</v>
      </c>
      <c r="B135" s="37" t="s">
        <v>629</v>
      </c>
      <c r="C135" s="38" t="s">
        <v>630</v>
      </c>
      <c r="D135" s="19">
        <v>30780</v>
      </c>
      <c r="E135" s="38">
        <v>30780</v>
      </c>
      <c r="F135" s="184" t="s">
        <v>631</v>
      </c>
      <c r="G135" s="2">
        <f t="shared" si="0"/>
        <v>15390</v>
      </c>
      <c r="H135" s="2"/>
      <c r="I135" s="2"/>
      <c r="J135" s="2"/>
      <c r="K135" s="2"/>
    </row>
    <row r="136" ht="28.5" customHeight="1" spans="1:11">
      <c r="A136" s="16"/>
      <c r="B136" s="17" t="s">
        <v>10</v>
      </c>
      <c r="C136" s="18"/>
      <c r="D136" s="18">
        <f t="shared" ref="D136:E136" si="1">SUM(D5:D135)</f>
        <v>5417060</v>
      </c>
      <c r="E136" s="18">
        <f t="shared" si="1"/>
        <v>5178042</v>
      </c>
      <c r="F136" s="18"/>
      <c r="G136" s="6">
        <f>SUM(G6:G135)</f>
        <v>2589073</v>
      </c>
      <c r="H136" s="6"/>
      <c r="I136" s="6"/>
      <c r="J136" s="6"/>
      <c r="K136" s="6"/>
    </row>
    <row r="137" ht="28.5" customHeight="1" spans="1:11">
      <c r="A137" s="19"/>
      <c r="B137" s="20"/>
      <c r="C137" s="20"/>
      <c r="D137" s="21"/>
      <c r="E137" s="19"/>
      <c r="F137" s="22"/>
      <c r="G137" s="2"/>
      <c r="H137" s="2"/>
      <c r="I137" s="2"/>
      <c r="J137" s="2"/>
      <c r="K137" s="2"/>
    </row>
    <row r="138" ht="28.5" customHeight="1" spans="1:11">
      <c r="A138" s="19"/>
      <c r="B138" s="36"/>
      <c r="C138" s="36"/>
      <c r="D138" s="16"/>
      <c r="E138" s="36"/>
      <c r="F138" s="36"/>
      <c r="G138" s="2"/>
      <c r="H138" s="2"/>
      <c r="I138" s="2"/>
      <c r="J138" s="2"/>
      <c r="K138" s="2"/>
    </row>
    <row r="139" ht="28.5" customHeight="1" spans="1:11">
      <c r="A139" s="19"/>
      <c r="B139" s="17"/>
      <c r="C139" s="18"/>
      <c r="D139" s="16"/>
      <c r="E139" s="19"/>
      <c r="F139" s="22"/>
      <c r="G139" s="2"/>
      <c r="H139" s="2"/>
      <c r="I139" s="2"/>
      <c r="J139" s="2"/>
      <c r="K139" s="2"/>
    </row>
    <row r="140" ht="28.5" customHeight="1" spans="1:11">
      <c r="A140" s="19"/>
      <c r="B140" s="17"/>
      <c r="C140" s="18"/>
      <c r="D140" s="16"/>
      <c r="E140" s="19"/>
      <c r="F140" s="22"/>
      <c r="G140" s="2"/>
      <c r="H140" s="2"/>
      <c r="I140" s="2"/>
      <c r="J140" s="2"/>
      <c r="K140" s="2"/>
    </row>
    <row r="141" ht="28.5" hidden="1" customHeight="1" spans="1:11">
      <c r="A141" s="28" t="s">
        <v>309</v>
      </c>
      <c r="G141" s="2"/>
      <c r="H141" s="2"/>
      <c r="I141" s="2"/>
      <c r="J141" s="2"/>
      <c r="K141" s="2"/>
    </row>
    <row r="142" ht="28.5" hidden="1" customHeight="1" spans="1:11">
      <c r="A142" s="28" t="s">
        <v>632</v>
      </c>
      <c r="G142" s="2"/>
      <c r="H142" s="2"/>
      <c r="I142" s="2"/>
      <c r="J142" s="2"/>
      <c r="K142" s="2"/>
    </row>
    <row r="143" ht="41.25" hidden="1" customHeight="1" spans="1:11">
      <c r="A143" s="18" t="s">
        <v>311</v>
      </c>
      <c r="B143" s="17" t="s">
        <v>4</v>
      </c>
      <c r="C143" s="18" t="s">
        <v>5</v>
      </c>
      <c r="D143" s="18" t="s">
        <v>6</v>
      </c>
      <c r="E143" s="18" t="s">
        <v>28</v>
      </c>
      <c r="F143" s="5" t="s">
        <v>29</v>
      </c>
      <c r="G143" s="2"/>
      <c r="H143" s="2"/>
      <c r="I143" s="2"/>
      <c r="J143" s="2"/>
      <c r="K143" s="2"/>
    </row>
    <row r="144" ht="28.5" customHeight="1" spans="1:11">
      <c r="A144" s="28"/>
      <c r="B144" s="29"/>
      <c r="C144" s="30"/>
      <c r="D144" s="28"/>
      <c r="E144" s="28"/>
      <c r="F144" s="31"/>
      <c r="G144" s="2"/>
      <c r="H144" s="2"/>
      <c r="I144" s="2"/>
      <c r="J144" s="2"/>
      <c r="K144" s="2"/>
    </row>
  </sheetData>
  <autoFilter xmlns:etc="http://www.wps.cn/officeDocument/2017/etCustomData" ref="A1:F136" etc:filterBottomFollowUsedRange="0">
    <extLst/>
  </autoFilter>
  <mergeCells count="4">
    <mergeCell ref="A1:F1"/>
    <mergeCell ref="A2:F2"/>
    <mergeCell ref="A141:F141"/>
    <mergeCell ref="A142:F14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309</v>
      </c>
      <c r="G1" s="2"/>
      <c r="H1" s="2"/>
      <c r="I1" s="2"/>
      <c r="J1" s="2"/>
      <c r="K1" s="2"/>
    </row>
    <row r="2" ht="22.5" customHeight="1" spans="1:11">
      <c r="A2" s="1" t="s">
        <v>310</v>
      </c>
      <c r="G2" s="2"/>
      <c r="H2" s="2"/>
      <c r="I2" s="2"/>
      <c r="J2" s="2"/>
      <c r="K2" s="2"/>
    </row>
    <row r="3" ht="28.5" customHeight="1" spans="1:11">
      <c r="A3" s="3" t="s">
        <v>311</v>
      </c>
      <c r="B3" s="4" t="s">
        <v>4</v>
      </c>
      <c r="C3" s="3" t="s">
        <v>5</v>
      </c>
      <c r="D3" s="3" t="s">
        <v>6</v>
      </c>
      <c r="E3" s="3" t="s">
        <v>28</v>
      </c>
      <c r="F3" s="5" t="s">
        <v>29</v>
      </c>
      <c r="G3" s="2"/>
      <c r="H3" s="2"/>
      <c r="I3" s="2"/>
      <c r="J3" s="2"/>
      <c r="K3" s="2"/>
    </row>
    <row r="4" ht="21.75" customHeight="1" spans="1:11">
      <c r="A4" s="6"/>
      <c r="B4" s="4" t="s">
        <v>312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23">
        <v>9</v>
      </c>
      <c r="B5" s="24" t="s">
        <v>331</v>
      </c>
      <c r="C5" s="25" t="s">
        <v>321</v>
      </c>
      <c r="D5" s="25">
        <v>40000</v>
      </c>
      <c r="E5" s="25">
        <v>39725</v>
      </c>
      <c r="F5" s="185" t="s">
        <v>332</v>
      </c>
      <c r="G5" s="27">
        <f>ROUND(E5/2,0)</f>
        <v>19863</v>
      </c>
      <c r="H5" s="27"/>
      <c r="I5" s="27"/>
      <c r="J5" s="27"/>
      <c r="K5" s="27"/>
    </row>
    <row r="6" ht="28.5" customHeight="1" spans="1:11">
      <c r="A6" s="2"/>
      <c r="B6" s="32"/>
      <c r="C6" s="33"/>
      <c r="D6" s="2"/>
      <c r="E6" s="2"/>
      <c r="F6" s="22"/>
      <c r="G6" s="2"/>
      <c r="H6" s="2"/>
      <c r="I6" s="2"/>
      <c r="J6" s="2"/>
      <c r="K6" s="2"/>
    </row>
    <row r="7" ht="28.5" customHeight="1" spans="1:11">
      <c r="A7" s="23">
        <v>23</v>
      </c>
      <c r="B7" s="34" t="s">
        <v>359</v>
      </c>
      <c r="C7" s="25" t="s">
        <v>321</v>
      </c>
      <c r="D7" s="23">
        <v>18000</v>
      </c>
      <c r="E7" s="25">
        <v>17775</v>
      </c>
      <c r="F7" s="189" t="s">
        <v>360</v>
      </c>
      <c r="G7" s="27">
        <f t="shared" ref="G7:G15" si="0">ROUND(E7/2,0)</f>
        <v>8888</v>
      </c>
      <c r="H7" s="27"/>
      <c r="I7" s="27"/>
      <c r="J7" s="27"/>
      <c r="K7" s="27"/>
    </row>
    <row r="8" ht="28.5" customHeight="1" spans="1:11">
      <c r="A8" s="23">
        <v>47</v>
      </c>
      <c r="B8" s="35" t="s">
        <v>412</v>
      </c>
      <c r="C8" s="25" t="s">
        <v>316</v>
      </c>
      <c r="D8" s="23">
        <v>75000</v>
      </c>
      <c r="E8" s="25">
        <v>74725</v>
      </c>
      <c r="F8" s="23"/>
      <c r="G8" s="27">
        <f t="shared" si="0"/>
        <v>37363</v>
      </c>
      <c r="H8" s="27"/>
      <c r="I8" s="27"/>
      <c r="J8" s="27"/>
      <c r="K8" s="27"/>
    </row>
    <row r="9" ht="28.5" customHeight="1" spans="1:11">
      <c r="A9" s="23">
        <v>75</v>
      </c>
      <c r="B9" s="34" t="s">
        <v>466</v>
      </c>
      <c r="C9" s="25" t="s">
        <v>321</v>
      </c>
      <c r="D9" s="23">
        <v>24000</v>
      </c>
      <c r="E9" s="25">
        <v>23725</v>
      </c>
      <c r="F9" s="189" t="s">
        <v>467</v>
      </c>
      <c r="G9" s="27">
        <f t="shared" si="0"/>
        <v>11863</v>
      </c>
      <c r="H9" s="27"/>
      <c r="I9" s="27"/>
      <c r="J9" s="27"/>
      <c r="K9" s="27"/>
    </row>
    <row r="10" ht="28.5" customHeight="1" spans="1:11">
      <c r="A10" s="23">
        <v>87</v>
      </c>
      <c r="B10" s="34" t="s">
        <v>491</v>
      </c>
      <c r="C10" s="25" t="s">
        <v>377</v>
      </c>
      <c r="D10" s="23">
        <v>50000</v>
      </c>
      <c r="E10" s="25">
        <v>49725</v>
      </c>
      <c r="F10" s="189" t="s">
        <v>492</v>
      </c>
      <c r="G10" s="27">
        <f t="shared" si="0"/>
        <v>24863</v>
      </c>
      <c r="H10" s="27"/>
      <c r="I10" s="27"/>
      <c r="J10" s="27"/>
      <c r="K10" s="27"/>
    </row>
    <row r="11" ht="28.5" customHeight="1" spans="1:11">
      <c r="A11" s="23">
        <v>98</v>
      </c>
      <c r="B11" s="34" t="s">
        <v>514</v>
      </c>
      <c r="C11" s="25" t="s">
        <v>321</v>
      </c>
      <c r="D11" s="23">
        <v>23000</v>
      </c>
      <c r="E11" s="25">
        <v>22770</v>
      </c>
      <c r="F11" s="189" t="s">
        <v>515</v>
      </c>
      <c r="G11" s="27">
        <f t="shared" si="0"/>
        <v>11385</v>
      </c>
      <c r="H11" s="27"/>
      <c r="I11" s="27"/>
      <c r="J11" s="27"/>
      <c r="K11" s="27"/>
    </row>
    <row r="12" ht="28.5" customHeight="1" spans="1:11">
      <c r="A12" s="23">
        <v>99</v>
      </c>
      <c r="B12" s="34" t="s">
        <v>516</v>
      </c>
      <c r="C12" s="25" t="s">
        <v>321</v>
      </c>
      <c r="D12" s="23">
        <v>37000</v>
      </c>
      <c r="E12" s="25">
        <v>36725</v>
      </c>
      <c r="F12" s="189" t="s">
        <v>517</v>
      </c>
      <c r="G12" s="27">
        <f t="shared" si="0"/>
        <v>18363</v>
      </c>
      <c r="H12" s="27"/>
      <c r="I12" s="27"/>
      <c r="J12" s="27"/>
      <c r="K12" s="27"/>
    </row>
    <row r="13" ht="28.5" customHeight="1" spans="1:11">
      <c r="A13" s="23">
        <v>142</v>
      </c>
      <c r="B13" s="34" t="s">
        <v>609</v>
      </c>
      <c r="C13" s="25" t="s">
        <v>321</v>
      </c>
      <c r="D13" s="25">
        <v>18000</v>
      </c>
      <c r="E13" s="25">
        <v>17775</v>
      </c>
      <c r="F13" s="189" t="s">
        <v>610</v>
      </c>
      <c r="G13" s="27">
        <f t="shared" si="0"/>
        <v>8888</v>
      </c>
      <c r="H13" s="27"/>
      <c r="I13" s="27"/>
      <c r="J13" s="27"/>
      <c r="K13" s="27"/>
    </row>
    <row r="14" ht="28.5" customHeight="1" spans="1:11">
      <c r="A14" s="23">
        <v>144</v>
      </c>
      <c r="B14" s="34" t="s">
        <v>613</v>
      </c>
      <c r="C14" s="25" t="s">
        <v>321</v>
      </c>
      <c r="D14" s="25">
        <v>20000</v>
      </c>
      <c r="E14" s="25">
        <v>19775</v>
      </c>
      <c r="F14" s="189" t="s">
        <v>614</v>
      </c>
      <c r="G14" s="27">
        <f t="shared" si="0"/>
        <v>9888</v>
      </c>
      <c r="H14" s="27"/>
      <c r="I14" s="27"/>
      <c r="J14" s="27"/>
      <c r="K14" s="27"/>
    </row>
    <row r="15" ht="28.5" customHeight="1" spans="1:11">
      <c r="A15" s="23">
        <v>145</v>
      </c>
      <c r="B15" s="34" t="s">
        <v>615</v>
      </c>
      <c r="C15" s="25" t="s">
        <v>321</v>
      </c>
      <c r="D15" s="25">
        <v>25000</v>
      </c>
      <c r="E15" s="25">
        <v>24725</v>
      </c>
      <c r="F15" s="189" t="s">
        <v>616</v>
      </c>
      <c r="G15" s="27">
        <f t="shared" si="0"/>
        <v>12363</v>
      </c>
      <c r="H15" s="27"/>
      <c r="I15" s="27"/>
      <c r="J15" s="27"/>
      <c r="K15" s="27"/>
    </row>
    <row r="16" ht="28.5" customHeight="1" spans="1:11">
      <c r="A16" s="16"/>
      <c r="B16" s="17" t="s">
        <v>10</v>
      </c>
      <c r="C16" s="18"/>
      <c r="D16" s="18">
        <f t="shared" ref="D16:E16" si="1">SUM(D5:D15)</f>
        <v>330000</v>
      </c>
      <c r="E16" s="18">
        <f t="shared" si="1"/>
        <v>327445</v>
      </c>
      <c r="F16" s="18"/>
      <c r="G16" s="6">
        <f>SUM(G5:G15)</f>
        <v>163727</v>
      </c>
      <c r="H16" s="6"/>
      <c r="I16" s="6"/>
      <c r="J16" s="6"/>
      <c r="K16" s="6"/>
    </row>
    <row r="17" ht="28.5" customHeight="1" spans="1:11">
      <c r="A17" s="19"/>
      <c r="B17" s="20"/>
      <c r="C17" s="20"/>
      <c r="D17" s="21"/>
      <c r="E17" s="19"/>
      <c r="F17" s="22"/>
      <c r="G17" s="2"/>
      <c r="H17" s="2"/>
      <c r="I17" s="2"/>
      <c r="J17" s="2"/>
      <c r="K17" s="2"/>
    </row>
    <row r="18" ht="28.5" customHeight="1" spans="1:11">
      <c r="A18" s="19"/>
      <c r="B18" s="36"/>
      <c r="C18" s="36"/>
      <c r="D18" s="16"/>
      <c r="E18" s="36"/>
      <c r="F18" s="36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customHeight="1" spans="1:11">
      <c r="A20" s="19"/>
      <c r="B20" s="17"/>
      <c r="C20" s="18"/>
      <c r="D20" s="16"/>
      <c r="E20" s="19"/>
      <c r="F20" s="22"/>
      <c r="G20" s="2"/>
      <c r="H20" s="2"/>
      <c r="I20" s="2"/>
      <c r="J20" s="2">
        <f>+G16+'Teaching (5)'!G136</f>
        <v>2752800</v>
      </c>
      <c r="K20" s="2"/>
    </row>
    <row r="21" ht="28.5" hidden="1" customHeight="1" spans="1:11">
      <c r="A21" s="28" t="s">
        <v>309</v>
      </c>
      <c r="G21" s="2"/>
      <c r="H21" s="2"/>
      <c r="I21" s="2"/>
      <c r="J21" s="2"/>
      <c r="K21" s="2"/>
    </row>
    <row r="22" ht="28.5" hidden="1" customHeight="1" spans="1:11">
      <c r="A22" s="28" t="s">
        <v>632</v>
      </c>
      <c r="G22" s="2"/>
      <c r="H22" s="2"/>
      <c r="I22" s="2"/>
      <c r="J22" s="2"/>
      <c r="K22" s="2"/>
    </row>
    <row r="23" ht="41.25" hidden="1" customHeight="1" spans="1:11">
      <c r="A23" s="18" t="s">
        <v>311</v>
      </c>
      <c r="B23" s="17" t="s">
        <v>4</v>
      </c>
      <c r="C23" s="18" t="s">
        <v>5</v>
      </c>
      <c r="D23" s="18" t="s">
        <v>6</v>
      </c>
      <c r="E23" s="18" t="s">
        <v>28</v>
      </c>
      <c r="F23" s="5" t="s">
        <v>29</v>
      </c>
      <c r="G23" s="2"/>
      <c r="H23" s="2"/>
      <c r="I23" s="2"/>
      <c r="J23" s="2"/>
      <c r="K23" s="2"/>
    </row>
    <row r="24" ht="28.5" customHeight="1" spans="1:11">
      <c r="A24" s="28"/>
      <c r="B24" s="29"/>
      <c r="C24" s="30"/>
      <c r="D24" s="28"/>
      <c r="E24" s="28"/>
      <c r="F24" s="31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6" etc:filterBottomFollowUsedRange="0">
    <extLst/>
  </autoFilter>
  <mergeCells count="4">
    <mergeCell ref="A1:F1"/>
    <mergeCell ref="A2:F2"/>
    <mergeCell ref="A21:F21"/>
    <mergeCell ref="A22:F2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42727272727273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309</v>
      </c>
      <c r="G1" s="2"/>
      <c r="H1" s="2"/>
      <c r="I1" s="2"/>
      <c r="J1" s="2"/>
      <c r="K1" s="2"/>
    </row>
    <row r="2" ht="22.5" customHeight="1" spans="1:11">
      <c r="A2" s="1" t="s">
        <v>310</v>
      </c>
      <c r="G2" s="2"/>
      <c r="H2" s="2"/>
      <c r="I2" s="2"/>
      <c r="J2" s="2"/>
      <c r="K2" s="2"/>
    </row>
    <row r="3" ht="28.5" customHeight="1" spans="1:11">
      <c r="A3" s="3" t="s">
        <v>311</v>
      </c>
      <c r="B3" s="4" t="s">
        <v>4</v>
      </c>
      <c r="C3" s="3" t="s">
        <v>5</v>
      </c>
      <c r="D3" s="3" t="s">
        <v>6</v>
      </c>
      <c r="E3" s="3" t="s">
        <v>28</v>
      </c>
      <c r="F3" s="5" t="s">
        <v>29</v>
      </c>
      <c r="G3" s="2"/>
      <c r="H3" s="2"/>
      <c r="I3" s="2"/>
      <c r="J3" s="2"/>
      <c r="K3" s="2"/>
    </row>
    <row r="4" ht="21.75" customHeight="1" spans="1:11">
      <c r="A4" s="6"/>
      <c r="B4" s="4" t="s">
        <v>312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7">
        <v>17</v>
      </c>
      <c r="B5" s="8" t="s">
        <v>347</v>
      </c>
      <c r="C5" s="9" t="s">
        <v>316</v>
      </c>
      <c r="D5" s="7">
        <v>44332</v>
      </c>
      <c r="E5" s="9">
        <v>44057</v>
      </c>
      <c r="F5" s="188" t="s">
        <v>348</v>
      </c>
      <c r="G5" s="10">
        <f t="shared" ref="G5:G14" si="0">ROUND(E5/2,0)</f>
        <v>22029</v>
      </c>
      <c r="H5" s="10"/>
      <c r="I5" s="10"/>
      <c r="J5" s="10"/>
      <c r="K5" s="10"/>
    </row>
    <row r="6" ht="28.5" customHeight="1" spans="1:11">
      <c r="A6" s="7">
        <v>44</v>
      </c>
      <c r="B6" s="11" t="s">
        <v>406</v>
      </c>
      <c r="C6" s="9" t="s">
        <v>316</v>
      </c>
      <c r="D6" s="7">
        <v>70000</v>
      </c>
      <c r="E6" s="9">
        <v>69725</v>
      </c>
      <c r="F6" s="188" t="s">
        <v>407</v>
      </c>
      <c r="G6" s="10">
        <f t="shared" si="0"/>
        <v>34863</v>
      </c>
      <c r="H6" s="10"/>
      <c r="I6" s="10"/>
      <c r="J6" s="10"/>
      <c r="K6" s="10"/>
    </row>
    <row r="7" ht="28.5" customHeight="1" spans="1:11">
      <c r="A7" s="7">
        <v>51</v>
      </c>
      <c r="B7" s="8" t="s">
        <v>419</v>
      </c>
      <c r="C7" s="9" t="s">
        <v>316</v>
      </c>
      <c r="D7" s="7">
        <v>38000</v>
      </c>
      <c r="E7" s="9">
        <v>37725</v>
      </c>
      <c r="F7" s="188" t="s">
        <v>420</v>
      </c>
      <c r="G7" s="10">
        <f t="shared" si="0"/>
        <v>18863</v>
      </c>
      <c r="H7" s="10"/>
      <c r="I7" s="10"/>
      <c r="J7" s="10"/>
      <c r="K7" s="10"/>
    </row>
    <row r="8" ht="28.5" customHeight="1" spans="1:11">
      <c r="A8" s="7">
        <v>57</v>
      </c>
      <c r="B8" s="8" t="s">
        <v>432</v>
      </c>
      <c r="C8" s="9" t="s">
        <v>321</v>
      </c>
      <c r="D8" s="7">
        <v>59890</v>
      </c>
      <c r="E8" s="9">
        <v>59615</v>
      </c>
      <c r="F8" s="188" t="s">
        <v>433</v>
      </c>
      <c r="G8" s="10">
        <f t="shared" si="0"/>
        <v>29808</v>
      </c>
      <c r="H8" s="10"/>
      <c r="I8" s="10"/>
      <c r="J8" s="10"/>
      <c r="K8" s="10"/>
    </row>
    <row r="9" ht="28.5" customHeight="1" spans="1:11">
      <c r="A9" s="7">
        <v>71</v>
      </c>
      <c r="B9" s="8" t="s">
        <v>459</v>
      </c>
      <c r="C9" s="9" t="s">
        <v>316</v>
      </c>
      <c r="D9" s="7">
        <v>90000</v>
      </c>
      <c r="E9" s="9">
        <v>89725</v>
      </c>
      <c r="F9" s="7"/>
      <c r="G9" s="10">
        <f t="shared" si="0"/>
        <v>44863</v>
      </c>
      <c r="H9" s="10"/>
      <c r="I9" s="10"/>
      <c r="J9" s="10"/>
      <c r="K9" s="10"/>
    </row>
    <row r="10" ht="28.5" customHeight="1" spans="1:11">
      <c r="A10" s="12">
        <v>78</v>
      </c>
      <c r="B10" s="13" t="s">
        <v>472</v>
      </c>
      <c r="C10" s="14" t="s">
        <v>321</v>
      </c>
      <c r="D10" s="12">
        <v>35000</v>
      </c>
      <c r="E10" s="14">
        <v>34725</v>
      </c>
      <c r="F10" s="190" t="s">
        <v>473</v>
      </c>
      <c r="G10" s="15">
        <f t="shared" si="0"/>
        <v>17363</v>
      </c>
      <c r="H10" s="15"/>
      <c r="I10" s="15"/>
      <c r="J10" s="15"/>
      <c r="K10" s="15"/>
    </row>
    <row r="11" ht="28.5" customHeight="1" spans="1:11">
      <c r="A11" s="7">
        <v>86</v>
      </c>
      <c r="B11" s="8" t="s">
        <v>489</v>
      </c>
      <c r="C11" s="9" t="s">
        <v>321</v>
      </c>
      <c r="D11" s="7">
        <v>65000</v>
      </c>
      <c r="E11" s="9">
        <v>64725</v>
      </c>
      <c r="F11" s="188" t="s">
        <v>490</v>
      </c>
      <c r="G11" s="10">
        <f t="shared" si="0"/>
        <v>32363</v>
      </c>
      <c r="H11" s="10"/>
      <c r="I11" s="10"/>
      <c r="J11" s="10"/>
      <c r="K11" s="10"/>
    </row>
    <row r="12" ht="28.5" customHeight="1" spans="1:11">
      <c r="A12" s="12">
        <v>92</v>
      </c>
      <c r="B12" s="13" t="s">
        <v>501</v>
      </c>
      <c r="C12" s="14" t="s">
        <v>424</v>
      </c>
      <c r="D12" s="12">
        <v>36000</v>
      </c>
      <c r="E12" s="14">
        <v>35725</v>
      </c>
      <c r="F12" s="190" t="s">
        <v>502</v>
      </c>
      <c r="G12" s="15">
        <f t="shared" si="0"/>
        <v>17863</v>
      </c>
      <c r="H12" s="15"/>
      <c r="I12" s="15"/>
      <c r="J12" s="15"/>
      <c r="K12" s="15"/>
    </row>
    <row r="13" ht="28.5" customHeight="1" spans="1:11">
      <c r="A13" s="12">
        <v>93</v>
      </c>
      <c r="B13" s="13" t="s">
        <v>503</v>
      </c>
      <c r="C13" s="14" t="s">
        <v>424</v>
      </c>
      <c r="D13" s="12">
        <v>35000</v>
      </c>
      <c r="E13" s="14">
        <v>34725</v>
      </c>
      <c r="F13" s="190" t="s">
        <v>504</v>
      </c>
      <c r="G13" s="15">
        <f t="shared" si="0"/>
        <v>17363</v>
      </c>
      <c r="H13" s="15"/>
      <c r="I13" s="15"/>
      <c r="J13" s="15"/>
      <c r="K13" s="15"/>
    </row>
    <row r="14" ht="28.5" customHeight="1" spans="1:11">
      <c r="A14" s="12">
        <v>121</v>
      </c>
      <c r="B14" s="13" t="s">
        <v>565</v>
      </c>
      <c r="C14" s="14" t="s">
        <v>566</v>
      </c>
      <c r="D14" s="12">
        <v>15000</v>
      </c>
      <c r="E14" s="12">
        <v>15000</v>
      </c>
      <c r="F14" s="190" t="s">
        <v>567</v>
      </c>
      <c r="G14" s="15">
        <f t="shared" si="0"/>
        <v>7500</v>
      </c>
      <c r="H14" s="15"/>
      <c r="I14" s="15"/>
      <c r="J14" s="15"/>
      <c r="K14" s="15"/>
    </row>
    <row r="15" ht="28.5" customHeight="1" spans="1:11">
      <c r="A15" s="16"/>
      <c r="B15" s="17" t="s">
        <v>10</v>
      </c>
      <c r="C15" s="18"/>
      <c r="D15" s="18">
        <f t="shared" ref="D15:E15" si="1">SUM(D5:D14)</f>
        <v>488222</v>
      </c>
      <c r="E15" s="18">
        <f t="shared" si="1"/>
        <v>485747</v>
      </c>
      <c r="F15" s="18"/>
      <c r="G15" s="6">
        <f>SUM(G5:G14)</f>
        <v>242878</v>
      </c>
      <c r="H15" s="6"/>
      <c r="I15" s="6"/>
      <c r="J15" s="6"/>
      <c r="K15" s="6"/>
    </row>
    <row r="16" ht="28.5" customHeight="1" spans="1:11">
      <c r="A16" s="19"/>
      <c r="B16" s="20"/>
      <c r="C16" s="20"/>
      <c r="D16" s="21"/>
      <c r="E16" s="19"/>
      <c r="F16" s="22"/>
      <c r="G16" s="2"/>
      <c r="H16" s="2"/>
      <c r="I16" s="2"/>
      <c r="J16" s="2"/>
      <c r="K16" s="2"/>
    </row>
    <row r="17" ht="28.5" customHeight="1" spans="1:11">
      <c r="A17" s="23">
        <v>10</v>
      </c>
      <c r="B17" s="24" t="s">
        <v>333</v>
      </c>
      <c r="C17" s="25" t="s">
        <v>321</v>
      </c>
      <c r="D17" s="25">
        <v>23000</v>
      </c>
      <c r="E17" s="25">
        <v>22725</v>
      </c>
      <c r="F17" s="185" t="s">
        <v>334</v>
      </c>
      <c r="G17" s="27">
        <f>ROUND(E17/2,0)</f>
        <v>11363</v>
      </c>
      <c r="H17" s="27"/>
      <c r="I17" s="27"/>
      <c r="J17" s="27"/>
      <c r="K17" s="27"/>
    </row>
    <row r="18" ht="28.5" customHeight="1" spans="1:11">
      <c r="A18" s="19"/>
      <c r="B18" s="17"/>
      <c r="C18" s="18"/>
      <c r="D18" s="16"/>
      <c r="E18" s="19"/>
      <c r="F18" s="22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hidden="1" customHeight="1" spans="1:11">
      <c r="A20" s="28" t="s">
        <v>309</v>
      </c>
      <c r="G20" s="2"/>
      <c r="H20" s="2"/>
      <c r="I20" s="2"/>
      <c r="J20" s="2"/>
      <c r="K20" s="2"/>
    </row>
    <row r="21" ht="28.5" hidden="1" customHeight="1" spans="1:11">
      <c r="A21" s="28" t="s">
        <v>632</v>
      </c>
      <c r="G21" s="2"/>
      <c r="H21" s="2"/>
      <c r="I21" s="2"/>
      <c r="J21" s="2"/>
      <c r="K21" s="2"/>
    </row>
    <row r="22" ht="41.25" hidden="1" customHeight="1" spans="1:11">
      <c r="A22" s="18" t="s">
        <v>311</v>
      </c>
      <c r="B22" s="17" t="s">
        <v>4</v>
      </c>
      <c r="C22" s="18" t="s">
        <v>5</v>
      </c>
      <c r="D22" s="18" t="s">
        <v>6</v>
      </c>
      <c r="E22" s="18" t="s">
        <v>28</v>
      </c>
      <c r="F22" s="5" t="s">
        <v>29</v>
      </c>
      <c r="G22" s="2"/>
      <c r="H22" s="2"/>
      <c r="I22" s="2"/>
      <c r="J22" s="2"/>
      <c r="K22" s="2"/>
    </row>
    <row r="23" ht="28.5" customHeight="1" spans="1:11">
      <c r="A23" s="28"/>
      <c r="B23" s="29"/>
      <c r="C23" s="30"/>
      <c r="D23" s="28"/>
      <c r="E23" s="28"/>
      <c r="F23" s="31"/>
      <c r="G23" s="2"/>
      <c r="H23" s="2"/>
      <c r="I23" s="2"/>
      <c r="J23" s="2"/>
      <c r="K23" s="2"/>
    </row>
    <row r="24" ht="28.5" customHeight="1" spans="1:11">
      <c r="A24" s="2"/>
      <c r="B24" s="32"/>
      <c r="C24" s="33"/>
      <c r="D24" s="2"/>
      <c r="E24" s="2"/>
      <c r="F24" s="22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5" etc:filterBottomFollowUsedRange="0">
    <extLst/>
  </autoFilter>
  <mergeCells count="4">
    <mergeCell ref="A1:F1"/>
    <mergeCell ref="A2:F2"/>
    <mergeCell ref="A20:F20"/>
    <mergeCell ref="A21:F21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Non Teaching</vt:lpstr>
      <vt:lpstr>Teaching (2)</vt:lpstr>
      <vt:lpstr>Teaching (5)</vt:lpstr>
      <vt:lpstr>Teaching (3)</vt:lpstr>
      <vt:lpstr>Teaching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2006-09-16T00:00:00Z</dcterms:created>
  <cp:lastPrinted>2026-06-15T09:59:00Z</cp:lastPrinted>
  <dcterms:modified xsi:type="dcterms:W3CDTF">2026-08-12T06:45:44Z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9ADD0254ACC34E369B94102388CCBA01_12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