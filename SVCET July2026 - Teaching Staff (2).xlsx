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Teaching" sheetId="1" r:id="rId1"/>
    <sheet name="Teaching (2)" sheetId="3" state="hidden" r:id="rId2"/>
    <sheet name="Teaching (5)" sheetId="4" state="hidden" r:id="rId3"/>
    <sheet name="Teaching (3)" sheetId="5" state="hidden" r:id="rId4"/>
    <sheet name="Teaching (4)" sheetId="6" state="hidden" r:id="rId5"/>
  </sheets>
  <definedNames>
    <definedName name="_xlnm._FilterDatabase" localSheetId="1" hidden="1">'Teaching (2)'!$A$1:$F$160</definedName>
    <definedName name="_xlnm._FilterDatabase" localSheetId="2" hidden="1">'Teaching (5)'!$A$1:$F$136</definedName>
    <definedName name="_xlnm._FilterDatabase" localSheetId="3" hidden="1">'Teaching (3)'!$A$1:$F$16</definedName>
    <definedName name="_xlnm._FilterDatabase" localSheetId="4" hidden="1">'Teaching (4)'!$A$1:$F$15</definedName>
    <definedName name="_xlnm._FilterDatabase" localSheetId="0" hidden="1">Teaching!$W$1:$W$202</definedName>
    <definedName name="_xlnm.Print_Titles" localSheetId="0">Teaching!$3:$3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<sst xmlns="http://schemas.openxmlformats.org/spreadsheetml/2006/main" count="1699" uniqueCount="767">
  <si>
    <t>Sri Venkateswara College of Engineering and Technology</t>
  </si>
  <si>
    <t>Teaching Faculty - Salary Bill for the Month of July 2026</t>
  </si>
  <si>
    <t>Sl. No.</t>
  </si>
  <si>
    <t>Name of the Staff</t>
  </si>
  <si>
    <t>Designation</t>
  </si>
  <si>
    <t>Total
Salary</t>
  </si>
  <si>
    <t>Consolidated salary</t>
  </si>
  <si>
    <t>Basic</t>
  </si>
  <si>
    <t>AGP</t>
  </si>
  <si>
    <t>Total</t>
  </si>
  <si>
    <t>No of
Days</t>
  </si>
  <si>
    <t>Basic
+ AGP</t>
  </si>
  <si>
    <t>DA</t>
  </si>
  <si>
    <t>HRA</t>
  </si>
  <si>
    <t>Arrears</t>
  </si>
  <si>
    <t>FA</t>
  </si>
  <si>
    <t>TA/SA</t>
  </si>
  <si>
    <t>Gross
Total</t>
  </si>
  <si>
    <t>EPF</t>
  </si>
  <si>
    <t>IT</t>
  </si>
  <si>
    <t>PT</t>
  </si>
  <si>
    <t>WF</t>
  </si>
  <si>
    <t>EB</t>
  </si>
  <si>
    <t>Mess</t>
  </si>
  <si>
    <t>Bus/ others</t>
  </si>
  <si>
    <t>Tot Ded</t>
  </si>
  <si>
    <t>Net
Salary</t>
  </si>
  <si>
    <t>PNB Account
Number</t>
  </si>
  <si>
    <t>IFSC Code</t>
  </si>
  <si>
    <t>TEACHING STAFF</t>
  </si>
  <si>
    <t>R. V. Srinivas</t>
  </si>
  <si>
    <t>Vice Chairman</t>
  </si>
  <si>
    <t>110191059445</t>
  </si>
  <si>
    <t>CNRB0000852</t>
  </si>
  <si>
    <t>Dr. R. Shalini</t>
  </si>
  <si>
    <t>Medical Officer</t>
  </si>
  <si>
    <t>1440177000003677</t>
  </si>
  <si>
    <t>KVBL0001440</t>
  </si>
  <si>
    <t>Dr. M Mohan Babu</t>
  </si>
  <si>
    <t>Principal</t>
  </si>
  <si>
    <t>110138301350</t>
  </si>
  <si>
    <t>Dept. of CIVIL</t>
  </si>
  <si>
    <t>Dr. B. Damodhara Reddy</t>
  </si>
  <si>
    <t>Assoc.Prof &amp; HOD</t>
  </si>
  <si>
    <t>4017000402714457</t>
  </si>
  <si>
    <t>PUNB0401700</t>
  </si>
  <si>
    <t xml:space="preserve">Dr. M. Chittranjan </t>
  </si>
  <si>
    <t>Prof.</t>
  </si>
  <si>
    <t>50100104453520</t>
  </si>
  <si>
    <t>HDFC0000214</t>
  </si>
  <si>
    <t>Dr. N. Kiran Kumar</t>
  </si>
  <si>
    <t xml:space="preserve">Assoc.Prof </t>
  </si>
  <si>
    <t>32320100005102</t>
  </si>
  <si>
    <t>BARB0CHITAP</t>
  </si>
  <si>
    <t>Mr. B. Raja Sekhar</t>
  </si>
  <si>
    <t>Asso. Prof.</t>
  </si>
  <si>
    <t>4017000402717719</t>
  </si>
  <si>
    <t>Mr. M. Leelakar</t>
  </si>
  <si>
    <t>11271791002</t>
  </si>
  <si>
    <t>SBIN0002762</t>
  </si>
  <si>
    <t>Dr. P. Narasimha Reddy</t>
  </si>
  <si>
    <t>Asst.Prof</t>
  </si>
  <si>
    <t>110117179120</t>
  </si>
  <si>
    <t xml:space="preserve">Ms. K. Rahelu </t>
  </si>
  <si>
    <t>33082605632</t>
  </si>
  <si>
    <t>SBIN0002809</t>
  </si>
  <si>
    <t>Mr. K. Satish</t>
  </si>
  <si>
    <t>5925101008337</t>
  </si>
  <si>
    <t>CNRB0005925</t>
  </si>
  <si>
    <t>Dept. of EEE</t>
  </si>
  <si>
    <t>Dr. Y. N. Vijaya Kumar</t>
  </si>
  <si>
    <t>Prof &amp; HOD</t>
  </si>
  <si>
    <t>4017000402713935</t>
  </si>
  <si>
    <t>Dr. S. Senthil</t>
  </si>
  <si>
    <t>Assoc.Prof</t>
  </si>
  <si>
    <t>4017000402714077</t>
  </si>
  <si>
    <t>Dr. G. Balasundaram</t>
  </si>
  <si>
    <t>4017000402715702</t>
  </si>
  <si>
    <t>Dr. G. Ravindra</t>
  </si>
  <si>
    <t>154010100019643</t>
  </si>
  <si>
    <t>UBIN0815403</t>
  </si>
  <si>
    <t>Dr. Y. Dinakar</t>
  </si>
  <si>
    <t>Asst Prof</t>
  </si>
  <si>
    <t>39806192824</t>
  </si>
  <si>
    <t>SBIN0021210</t>
  </si>
  <si>
    <t>Mr. G. Devanatha Reddy</t>
  </si>
  <si>
    <t>4017000402717180</t>
  </si>
  <si>
    <t xml:space="preserve">Mr. S. Ramesh </t>
  </si>
  <si>
    <t>33932250011429</t>
  </si>
  <si>
    <t>CNRB0013393</t>
  </si>
  <si>
    <t>Ms. J. Pavalam</t>
  </si>
  <si>
    <t>146501000027234</t>
  </si>
  <si>
    <t>IOBA0001465</t>
  </si>
  <si>
    <t>Mrs. A. M. Hemalatha</t>
  </si>
  <si>
    <t>110193675130</t>
  </si>
  <si>
    <t>Mr. Sunil Kumar Reddy V</t>
  </si>
  <si>
    <t>921010019835708</t>
  </si>
  <si>
    <t>UTIB0003547</t>
  </si>
  <si>
    <t>Dept. of ME</t>
  </si>
  <si>
    <t>Dr. S. Arunsaco</t>
  </si>
  <si>
    <t>4017000402728715</t>
  </si>
  <si>
    <t>Dr. A. Mahamani</t>
  </si>
  <si>
    <t>Professor</t>
  </si>
  <si>
    <t>4017000402715067</t>
  </si>
  <si>
    <t xml:space="preserve">Dr. C. Ahilan </t>
  </si>
  <si>
    <t>4017000402728706</t>
  </si>
  <si>
    <t>Dr. A. R. Babu</t>
  </si>
  <si>
    <t>4017000402722492</t>
  </si>
  <si>
    <t>Dr. C. Umamaheswari</t>
  </si>
  <si>
    <t>4017000402716589</t>
  </si>
  <si>
    <t xml:space="preserve">Dr. S. Johny James </t>
  </si>
  <si>
    <t>4017000102775822</t>
  </si>
  <si>
    <t>Dr. P. Ankammarao</t>
  </si>
  <si>
    <t>110115161497</t>
  </si>
  <si>
    <t>Dr. P. Venkataramana</t>
  </si>
  <si>
    <t>746502010003893</t>
  </si>
  <si>
    <t>UBIN0822931</t>
  </si>
  <si>
    <t xml:space="preserve">Dr. K. Bhaskaran </t>
  </si>
  <si>
    <t>110199083130</t>
  </si>
  <si>
    <t>Mr. N. Sakthivelan</t>
  </si>
  <si>
    <t>4017000402716941</t>
  </si>
  <si>
    <t>Mr. S. Jawahar</t>
  </si>
  <si>
    <t>4017006900000287</t>
  </si>
  <si>
    <t xml:space="preserve">Mr. C. Sivalingan </t>
  </si>
  <si>
    <t>6147295233</t>
  </si>
  <si>
    <t>IDIB000A141</t>
  </si>
  <si>
    <t>Mr. D. Gopinath</t>
  </si>
  <si>
    <t>921010030916178</t>
  </si>
  <si>
    <t>UTIB0000027</t>
  </si>
  <si>
    <t>Dr. R. Rajesh</t>
  </si>
  <si>
    <t>4017000402713838</t>
  </si>
  <si>
    <t>Dept. of ECE</t>
  </si>
  <si>
    <t>Dr. D. Srihari</t>
  </si>
  <si>
    <t>4017000102775716</t>
  </si>
  <si>
    <t xml:space="preserve">Dr. T. Somasoundaram </t>
  </si>
  <si>
    <t>379502010058234</t>
  </si>
  <si>
    <t>UBIN0904422</t>
  </si>
  <si>
    <t>Dr. T. Seshagiri</t>
  </si>
  <si>
    <t>00000030279408928</t>
  </si>
  <si>
    <t>SBIN0010106</t>
  </si>
  <si>
    <t>Dr.Om Prakash</t>
  </si>
  <si>
    <t>4932000100085114</t>
  </si>
  <si>
    <t>Dr. A. Maheswary</t>
  </si>
  <si>
    <t>4017000402722030</t>
  </si>
  <si>
    <t xml:space="preserve">Dr. Nirmala Bai J </t>
  </si>
  <si>
    <t>16401140003848</t>
  </si>
  <si>
    <t>HDFC0001640</t>
  </si>
  <si>
    <t>Mr. V. Jayachandra Naidu</t>
  </si>
  <si>
    <t>4017000402716084</t>
  </si>
  <si>
    <t>Mr. S. Nagaraj</t>
  </si>
  <si>
    <t>4017000402716543</t>
  </si>
  <si>
    <t>Dr. S. Jeevitha</t>
  </si>
  <si>
    <t>20026022732</t>
  </si>
  <si>
    <t>SBIN0006394</t>
  </si>
  <si>
    <t>Dr. B. Vidya</t>
  </si>
  <si>
    <t>6856345461</t>
  </si>
  <si>
    <t>IDIB000V086</t>
  </si>
  <si>
    <t>Dr. D. Nathiya</t>
  </si>
  <si>
    <t>SBIN0061703</t>
  </si>
  <si>
    <t>Mr. K. Muruganandam</t>
  </si>
  <si>
    <t>775147475</t>
  </si>
  <si>
    <t xml:space="preserve">Mrs. S. Lavanya </t>
  </si>
  <si>
    <t>32350170985</t>
  </si>
  <si>
    <t>SBIN0000830</t>
  </si>
  <si>
    <t xml:space="preserve">Ms. A. Haritha </t>
  </si>
  <si>
    <t>37127736341</t>
  </si>
  <si>
    <t>SBIN0001616</t>
  </si>
  <si>
    <t xml:space="preserve">Ms. K. Jayasree </t>
  </si>
  <si>
    <t>SBIN0000933</t>
  </si>
  <si>
    <t>Ms. R. Sindhu</t>
  </si>
  <si>
    <t xml:space="preserve">Mr. S. Haroon Rasheed </t>
  </si>
  <si>
    <t>7098040700</t>
  </si>
  <si>
    <t xml:space="preserve">Mr. S. Nafeed Ahamed </t>
  </si>
  <si>
    <t>6602547729</t>
  </si>
  <si>
    <t>IDIB000M139</t>
  </si>
  <si>
    <t>Mrs. G. Rukshana BI</t>
  </si>
  <si>
    <t>30754942214</t>
  </si>
  <si>
    <t>SBIN0000784</t>
  </si>
  <si>
    <t xml:space="preserve">Mrs. Sreepriya </t>
  </si>
  <si>
    <t>4017000402715818</t>
  </si>
  <si>
    <t>Mr. Kalyan Raju Vundru</t>
  </si>
  <si>
    <t>SBIN0012667</t>
  </si>
  <si>
    <t>Mr. R. Mallikarjuna Reddy</t>
  </si>
  <si>
    <t>922010047587702</t>
  </si>
  <si>
    <t>Dept. of CSE</t>
  </si>
  <si>
    <t>Dr. P. Jyotheeswari</t>
  </si>
  <si>
    <t>4017000402716136</t>
  </si>
  <si>
    <t xml:space="preserve">Dr. George Justy Mirobi </t>
  </si>
  <si>
    <t>1264101046665</t>
  </si>
  <si>
    <t>CNRB0001264</t>
  </si>
  <si>
    <t>Mr. M. V. Vijaya Bhaskar</t>
  </si>
  <si>
    <t>38216417496</t>
  </si>
  <si>
    <t>Dr. D. Dayalan</t>
  </si>
  <si>
    <t>75330100032320</t>
  </si>
  <si>
    <t>BARB0VJVELT</t>
  </si>
  <si>
    <t>Mr. Thirumurugan Poolan</t>
  </si>
  <si>
    <t>110114814630</t>
  </si>
  <si>
    <t>Mrs. M. Devi Priya</t>
  </si>
  <si>
    <t>50100291569398</t>
  </si>
  <si>
    <t>HDFC0000751</t>
  </si>
  <si>
    <t>Mr. M. S. Sathish Kumar</t>
  </si>
  <si>
    <t>40666013447</t>
  </si>
  <si>
    <t>SBIN0000775</t>
  </si>
  <si>
    <t>Mrs. M. Nabathi</t>
  </si>
  <si>
    <t>6500264097</t>
  </si>
  <si>
    <t>IDIB000G034</t>
  </si>
  <si>
    <t>Mrs. D. Bhuvaneswari</t>
  </si>
  <si>
    <t>4017000102782123</t>
  </si>
  <si>
    <t>Mr. S. Muthu Kumar</t>
  </si>
  <si>
    <t>613157242</t>
  </si>
  <si>
    <t>IDIB000T019</t>
  </si>
  <si>
    <t xml:space="preserve">Mr. M. Balasubramanyam        </t>
  </si>
  <si>
    <t>908490426</t>
  </si>
  <si>
    <t>IDIB000G111</t>
  </si>
  <si>
    <t xml:space="preserve">Mr. K. S. Vijay Kumar </t>
  </si>
  <si>
    <t>64167188768</t>
  </si>
  <si>
    <t>SBIN0040927</t>
  </si>
  <si>
    <t xml:space="preserve">Mrs. Swathi Sreenivasulu </t>
  </si>
  <si>
    <t>Lecturer</t>
  </si>
  <si>
    <t>6743049039</t>
  </si>
  <si>
    <t>IDIB000C065</t>
  </si>
  <si>
    <t>Mr. A. Krishna</t>
  </si>
  <si>
    <t>82280100002868</t>
  </si>
  <si>
    <t>BARB0VJGUDA</t>
  </si>
  <si>
    <t>Mr. K. Sunitha</t>
  </si>
  <si>
    <t>Asst. Prof</t>
  </si>
  <si>
    <t>34716810896</t>
  </si>
  <si>
    <t>SBIN0012726</t>
  </si>
  <si>
    <t>Mr. Bhanu Saran Reddy</t>
  </si>
  <si>
    <t>8048620389</t>
  </si>
  <si>
    <t>KKBK0007880</t>
  </si>
  <si>
    <t xml:space="preserve">Mr. B. Prakash </t>
  </si>
  <si>
    <t>801000835123</t>
  </si>
  <si>
    <t>APBL0010004</t>
  </si>
  <si>
    <t>Mrs. V. Indraja</t>
  </si>
  <si>
    <t>40365523223</t>
  </si>
  <si>
    <t>SBIN0006514</t>
  </si>
  <si>
    <t>Ms. C. Mahitha</t>
  </si>
  <si>
    <t>6056105300</t>
  </si>
  <si>
    <t>KKBK0007823</t>
  </si>
  <si>
    <t>08.07.2026</t>
  </si>
  <si>
    <t>Ms. B. Abhinaya</t>
  </si>
  <si>
    <t>60421862516</t>
  </si>
  <si>
    <t>MAHB0001985</t>
  </si>
  <si>
    <t>20.07.2026</t>
  </si>
  <si>
    <t>Dept. of  CSM</t>
  </si>
  <si>
    <t>Dr. M. Lavanya</t>
  </si>
  <si>
    <t>Asso. Prof. &amp; HOD</t>
  </si>
  <si>
    <t>110122845653</t>
  </si>
  <si>
    <t>Dr. K. Nanda Kumar</t>
  </si>
  <si>
    <t>1257101016329</t>
  </si>
  <si>
    <t>CNRB0001257</t>
  </si>
  <si>
    <t>Dr. R. Mohan Raj</t>
  </si>
  <si>
    <t>0761101011910</t>
  </si>
  <si>
    <t>CNRB0000761</t>
  </si>
  <si>
    <t>Mr. K. Anjaneyulu</t>
  </si>
  <si>
    <t>154010100088944</t>
  </si>
  <si>
    <t xml:space="preserve">Mr. L. Madhi Madhan </t>
  </si>
  <si>
    <t xml:space="preserve">Asst.Prof </t>
  </si>
  <si>
    <t>110250283321</t>
  </si>
  <si>
    <t xml:space="preserve">Mrs. T. Amruthavalli </t>
  </si>
  <si>
    <t>SBIN0007083</t>
  </si>
  <si>
    <t xml:space="preserve">Mr. S. Punith </t>
  </si>
  <si>
    <t>33499034221</t>
  </si>
  <si>
    <t>SBIN0000825</t>
  </si>
  <si>
    <t>Ms. G. Sujitha</t>
  </si>
  <si>
    <t>30712989456</t>
  </si>
  <si>
    <t>Dept. of CSD</t>
  </si>
  <si>
    <t>Dr. K. Sundeep Kumar</t>
  </si>
  <si>
    <t>Prof. &amp; Dean</t>
  </si>
  <si>
    <t>4961000400005924</t>
  </si>
  <si>
    <t>PUNB0496100</t>
  </si>
  <si>
    <t xml:space="preserve">Mrs. S. Kokila </t>
  </si>
  <si>
    <t>Asst.Prof  &amp; HOD</t>
  </si>
  <si>
    <t>423302010080272</t>
  </si>
  <si>
    <t>UBIN0542334</t>
  </si>
  <si>
    <t>Mr. George Sebastian</t>
  </si>
  <si>
    <t xml:space="preserve">  </t>
  </si>
  <si>
    <t>110114782765</t>
  </si>
  <si>
    <t xml:space="preserve">Mr. A. Libonce </t>
  </si>
  <si>
    <t>7642356661</t>
  </si>
  <si>
    <t>IDIB000D003</t>
  </si>
  <si>
    <t>Mr. M. Navalan</t>
  </si>
  <si>
    <t>708626514</t>
  </si>
  <si>
    <t>Mr. A. C. K Rajesh Kanna</t>
  </si>
  <si>
    <t>300001002229560</t>
  </si>
  <si>
    <t>CIUB0000276</t>
  </si>
  <si>
    <t xml:space="preserve">Sathiya Priya J </t>
  </si>
  <si>
    <t>021301000036787</t>
  </si>
  <si>
    <t>IOBA0000213</t>
  </si>
  <si>
    <t xml:space="preserve">M C Leelu Mamakarni </t>
  </si>
  <si>
    <t>640602010004772</t>
  </si>
  <si>
    <t>UBIN0564061</t>
  </si>
  <si>
    <t xml:space="preserve">Moulika Grandhi </t>
  </si>
  <si>
    <t>500101010434221</t>
  </si>
  <si>
    <t>CIUB0000293</t>
  </si>
  <si>
    <t xml:space="preserve">Princess Raichel </t>
  </si>
  <si>
    <t>925010023800523</t>
  </si>
  <si>
    <t>UTIB0001373</t>
  </si>
  <si>
    <t>S. Pavithra</t>
  </si>
  <si>
    <t>39485166613</t>
  </si>
  <si>
    <t>S. Sharmiladevi</t>
  </si>
  <si>
    <t>31493115464</t>
  </si>
  <si>
    <t>SBIN0002203</t>
  </si>
  <si>
    <t>C. Ramyasree</t>
  </si>
  <si>
    <t>43955561722</t>
  </si>
  <si>
    <t>SBIN0016528</t>
  </si>
  <si>
    <t>31.07.2026</t>
  </si>
  <si>
    <t>S. Venisree</t>
  </si>
  <si>
    <t>44978170393</t>
  </si>
  <si>
    <t>U. Rakesh</t>
  </si>
  <si>
    <t>194810100256299</t>
  </si>
  <si>
    <t>UBIN0819484</t>
  </si>
  <si>
    <t>Dept. of CAI</t>
  </si>
  <si>
    <t>Dr. K.Thyagarajan</t>
  </si>
  <si>
    <t>4017000402714581</t>
  </si>
  <si>
    <t>R. Divya</t>
  </si>
  <si>
    <t>5925101010113</t>
  </si>
  <si>
    <t>Muneer Ahamed</t>
  </si>
  <si>
    <t>1198155000222279</t>
  </si>
  <si>
    <t>KVBL0001198</t>
  </si>
  <si>
    <t>V. Preetha</t>
  </si>
  <si>
    <t>CBIN0281388</t>
  </si>
  <si>
    <t>M.Doorvasulu Naidu</t>
  </si>
  <si>
    <t>Dept. of IT</t>
  </si>
  <si>
    <t>Dr J Velumurugan</t>
  </si>
  <si>
    <t>4017000402714031</t>
  </si>
  <si>
    <t>Dr A Anupriya</t>
  </si>
  <si>
    <t>Assoc. Prof</t>
  </si>
  <si>
    <t>1129101042640</t>
  </si>
  <si>
    <t>CNRB0001129</t>
  </si>
  <si>
    <t xml:space="preserve">B Obaiah </t>
  </si>
  <si>
    <t>33720375251</t>
  </si>
  <si>
    <t>SBIN0000792</t>
  </si>
  <si>
    <t>D Shruthi</t>
  </si>
  <si>
    <t>31330254212</t>
  </si>
  <si>
    <t>SBIN0000880</t>
  </si>
  <si>
    <t>S Pachiyappan</t>
  </si>
  <si>
    <t>50100051461865</t>
  </si>
  <si>
    <t>HDFC0000694</t>
  </si>
  <si>
    <t>G Srinivasan</t>
  </si>
  <si>
    <t>50100070494207</t>
  </si>
  <si>
    <t>HDFC0001993</t>
  </si>
  <si>
    <t xml:space="preserve">R. Gunasekaran </t>
  </si>
  <si>
    <t>520471004050057</t>
  </si>
  <si>
    <t>UBIN0915092</t>
  </si>
  <si>
    <t>40551486899</t>
  </si>
  <si>
    <t>SBIN0005083</t>
  </si>
  <si>
    <t>Dept. of MCA</t>
  </si>
  <si>
    <t>N.Sendhil Kumar</t>
  </si>
  <si>
    <t>Assoc.Prof &amp; Dean</t>
  </si>
  <si>
    <t>110190262747</t>
  </si>
  <si>
    <t>Dr R Hamsaveni</t>
  </si>
  <si>
    <t>063401000016252</t>
  </si>
  <si>
    <t>IOBA0000634</t>
  </si>
  <si>
    <t>M.Satish Kumar</t>
  </si>
  <si>
    <t>4017000402714280</t>
  </si>
  <si>
    <t>Dr.P.Dhandapani</t>
  </si>
  <si>
    <t>110155648313</t>
  </si>
  <si>
    <t>G.Dhanasekar</t>
  </si>
  <si>
    <t>4017000402713892</t>
  </si>
  <si>
    <t>V N Nevedha</t>
  </si>
  <si>
    <t>168401000019080</t>
  </si>
  <si>
    <t>IOBA0001684</t>
  </si>
  <si>
    <t>Dept. of MBA</t>
  </si>
  <si>
    <t>Dr.E.Lokanadha Reddy</t>
  </si>
  <si>
    <t>Professor &amp; Vice Principal</t>
  </si>
  <si>
    <t>4017000402714095</t>
  </si>
  <si>
    <t>Dr N Giri Babu</t>
  </si>
  <si>
    <t>Assoc.Prof &amp; HoD</t>
  </si>
  <si>
    <t>4017000402718648</t>
  </si>
  <si>
    <t>Dr. Kuladeep Kumar L</t>
  </si>
  <si>
    <t>746502010003397</t>
  </si>
  <si>
    <t>M.Jalaja</t>
  </si>
  <si>
    <t>4017000402716729</t>
  </si>
  <si>
    <t xml:space="preserve">M.Suresh </t>
  </si>
  <si>
    <t>4017000402714721</t>
  </si>
  <si>
    <t>K.Bindhumadhavi</t>
  </si>
  <si>
    <t>4017000402722386</t>
  </si>
  <si>
    <t>T.Srilekha</t>
  </si>
  <si>
    <t>4017000402721925</t>
  </si>
  <si>
    <t xml:space="preserve">D Vamsi </t>
  </si>
  <si>
    <t>33704849905</t>
  </si>
  <si>
    <t>SBIN0016483</t>
  </si>
  <si>
    <t xml:space="preserve">C Meenakshi </t>
  </si>
  <si>
    <t>110710100194564</t>
  </si>
  <si>
    <t>UBIN0817490</t>
  </si>
  <si>
    <t xml:space="preserve">Joseph Jebakumar B </t>
  </si>
  <si>
    <t>50100309497729</t>
  </si>
  <si>
    <t>HDFC0005429</t>
  </si>
  <si>
    <t xml:space="preserve">B. Ishwarya </t>
  </si>
  <si>
    <t>5985101006441</t>
  </si>
  <si>
    <t>CNRB0005985</t>
  </si>
  <si>
    <t>T. Ramthulasi</t>
  </si>
  <si>
    <t>4017000402722395</t>
  </si>
  <si>
    <t>Dept. of HAS</t>
  </si>
  <si>
    <t>Dr. I. Sudarsan Kumar</t>
  </si>
  <si>
    <t>Professor &amp; DAP</t>
  </si>
  <si>
    <t xml:space="preserve">Dr.K.Komala </t>
  </si>
  <si>
    <t>Professor &amp; HOD</t>
  </si>
  <si>
    <t>4017000402716668</t>
  </si>
  <si>
    <t>Dr.P Gopi Krishna</t>
  </si>
  <si>
    <t>Asst.Prof &amp; HOD</t>
  </si>
  <si>
    <t>4557000400008236</t>
  </si>
  <si>
    <t>PUNB0110420</t>
  </si>
  <si>
    <t xml:space="preserve">Dr. V Nirupama </t>
  </si>
  <si>
    <t xml:space="preserve">Professor </t>
  </si>
  <si>
    <t>10105264916</t>
  </si>
  <si>
    <t>SBIN0001197</t>
  </si>
  <si>
    <t>Dr.C.K.Selvi</t>
  </si>
  <si>
    <t>Assco.Prof</t>
  </si>
  <si>
    <t>4017000402722377</t>
  </si>
  <si>
    <t xml:space="preserve">Dr.V.L.Nirmal Bhargavi </t>
  </si>
  <si>
    <t>4017000402716233</t>
  </si>
  <si>
    <t>Dr. P Manohar</t>
  </si>
  <si>
    <t>Asso. Prof</t>
  </si>
  <si>
    <t>154010011040485</t>
  </si>
  <si>
    <t>Dr. X John Paul</t>
  </si>
  <si>
    <t>611060818</t>
  </si>
  <si>
    <t>Dr.M.Earnest Stephen Gnanadoss</t>
  </si>
  <si>
    <t>6051557934</t>
  </si>
  <si>
    <t>IDIB000M206</t>
  </si>
  <si>
    <t xml:space="preserve">Dr.A Mohan Rami Reddy </t>
  </si>
  <si>
    <t>4017000402722270</t>
  </si>
  <si>
    <t>A.Bhuvaneswari</t>
  </si>
  <si>
    <t>4017000402716224</t>
  </si>
  <si>
    <t xml:space="preserve">Dr. C. Jeeva </t>
  </si>
  <si>
    <t>759702010001986</t>
  </si>
  <si>
    <t>UBIN0558427</t>
  </si>
  <si>
    <t>Dr. Arun Kumar</t>
  </si>
  <si>
    <t>6161012168</t>
  </si>
  <si>
    <t>IDIB000S012</t>
  </si>
  <si>
    <t xml:space="preserve">V Vidya </t>
  </si>
  <si>
    <t>32320100004137</t>
  </si>
  <si>
    <t>V.Sujatha</t>
  </si>
  <si>
    <t>4017000402722289</t>
  </si>
  <si>
    <t>S.Swathy</t>
  </si>
  <si>
    <t>0949101043867</t>
  </si>
  <si>
    <t>CNRB0000949</t>
  </si>
  <si>
    <t>Prasanthi V G</t>
  </si>
  <si>
    <t>4017000102781975</t>
  </si>
  <si>
    <t>K Manigandan</t>
  </si>
  <si>
    <t>050310077970</t>
  </si>
  <si>
    <t>IPOS0000001</t>
  </si>
  <si>
    <t>M Gnanendra Reddy</t>
  </si>
  <si>
    <t>1473155000152072</t>
  </si>
  <si>
    <t>KVBL0001473</t>
  </si>
  <si>
    <t>M Govindaraj</t>
  </si>
  <si>
    <t>0950101035636</t>
  </si>
  <si>
    <t>CNRB0000950</t>
  </si>
  <si>
    <t>K Uma</t>
  </si>
  <si>
    <t>6079003144</t>
  </si>
  <si>
    <t>IDIB000C026</t>
  </si>
  <si>
    <t xml:space="preserve">K Eshrath </t>
  </si>
  <si>
    <t>36047380491</t>
  </si>
  <si>
    <t>SBIN0012727</t>
  </si>
  <si>
    <t>D Yuvaraj</t>
  </si>
  <si>
    <t>35822017783</t>
  </si>
  <si>
    <t>SBIN0003865</t>
  </si>
  <si>
    <t xml:space="preserve">P Madhu </t>
  </si>
  <si>
    <t>916010056052223</t>
  </si>
  <si>
    <t>UTIB0001182</t>
  </si>
  <si>
    <t>P Keerthana</t>
  </si>
  <si>
    <t>7828476309</t>
  </si>
  <si>
    <t xml:space="preserve">Dr. J. Sasi Kumar </t>
  </si>
  <si>
    <t>50100794045114</t>
  </si>
  <si>
    <t>HDFC0001295</t>
  </si>
  <si>
    <t>Shake Thowfic</t>
  </si>
  <si>
    <t>836610110005329</t>
  </si>
  <si>
    <t>BKID0008366</t>
  </si>
  <si>
    <t xml:space="preserve">Mohammad Sahil Khan </t>
  </si>
  <si>
    <t>0955101020706</t>
  </si>
  <si>
    <t>CNRB0000955</t>
  </si>
  <si>
    <t>S. Santosh</t>
  </si>
  <si>
    <t>021301000039349</t>
  </si>
  <si>
    <t>M.Lalithya</t>
  </si>
  <si>
    <t>983649387</t>
  </si>
  <si>
    <t>Sabita Chetry</t>
  </si>
  <si>
    <t>383102120011052</t>
  </si>
  <si>
    <t>UBIN0538311</t>
  </si>
  <si>
    <t>A. Haritha</t>
  </si>
  <si>
    <t>181810100122585</t>
  </si>
  <si>
    <t>UBIN0818186</t>
  </si>
  <si>
    <t>M. Sirisha</t>
  </si>
  <si>
    <t>922010056715251</t>
  </si>
  <si>
    <t>S. Vidhyapathy</t>
  </si>
  <si>
    <t>002701000035384</t>
  </si>
  <si>
    <t>IOBA0000027</t>
  </si>
  <si>
    <t>M Venkat</t>
  </si>
  <si>
    <t>Training Officer</t>
  </si>
  <si>
    <t>50100737579852</t>
  </si>
  <si>
    <t>HDFC0005763</t>
  </si>
  <si>
    <t>M Thyagarajan</t>
  </si>
  <si>
    <t>Trainer</t>
  </si>
  <si>
    <t>919010040070722</t>
  </si>
  <si>
    <t>UTIB0003195</t>
  </si>
  <si>
    <t>Dept. of Physical Education</t>
  </si>
  <si>
    <t>G.B.Reddy</t>
  </si>
  <si>
    <t>P.D</t>
  </si>
  <si>
    <t>4017000402715739</t>
  </si>
  <si>
    <t xml:space="preserve"> </t>
  </si>
  <si>
    <t xml:space="preserve">Total </t>
  </si>
  <si>
    <t>Prepared By</t>
  </si>
  <si>
    <t>Verified By</t>
  </si>
  <si>
    <t>HR</t>
  </si>
  <si>
    <t>AO</t>
  </si>
  <si>
    <t>Accounts Officer</t>
  </si>
  <si>
    <t>Sri Venkateswara College Of Engineering and Technology</t>
  </si>
  <si>
    <t>Salary Bill for the Month of May 2021</t>
  </si>
  <si>
    <t>S No</t>
  </si>
  <si>
    <t>4017000402717199</t>
  </si>
  <si>
    <t>Dr.B.Damodhara Reddy</t>
  </si>
  <si>
    <t xml:space="preserve">V Giridhar Kumar </t>
  </si>
  <si>
    <t>4017000402728788</t>
  </si>
  <si>
    <t>B.Raja Sekhar</t>
  </si>
  <si>
    <t>N.Kiran Kumar</t>
  </si>
  <si>
    <t>4017000402716181</t>
  </si>
  <si>
    <t>R.Anil Kumar</t>
  </si>
  <si>
    <t>4017000402717108</t>
  </si>
  <si>
    <t>V Siva Kumar</t>
  </si>
  <si>
    <t>4017000402729006</t>
  </si>
  <si>
    <t>K Hemanth Kumar</t>
  </si>
  <si>
    <t>4017000102779712</t>
  </si>
  <si>
    <t>Salvator Lawence</t>
  </si>
  <si>
    <t>20300030401</t>
  </si>
  <si>
    <t>Senthamizh Selvan</t>
  </si>
  <si>
    <t>574485388</t>
  </si>
  <si>
    <t>Priscillah</t>
  </si>
  <si>
    <t>50100195084174</t>
  </si>
  <si>
    <t xml:space="preserve">Dr S Ranjith </t>
  </si>
  <si>
    <t>620343986</t>
  </si>
  <si>
    <t>Dr Y.N.Vijaya Kumar</t>
  </si>
  <si>
    <t>Prof&amp; HOD</t>
  </si>
  <si>
    <t>S.Senthil</t>
  </si>
  <si>
    <t>Dr P Monica</t>
  </si>
  <si>
    <t>4017000102779794</t>
  </si>
  <si>
    <t>Dr Yatindra Gopal</t>
  </si>
  <si>
    <t>P.R.Murali Mohan</t>
  </si>
  <si>
    <t>4017000402715386</t>
  </si>
  <si>
    <t>C  Vimal Raj</t>
  </si>
  <si>
    <t>4017000402728751</t>
  </si>
  <si>
    <t>G.Balasundaram</t>
  </si>
  <si>
    <t>G.Venkata Pradeep</t>
  </si>
  <si>
    <t>4017000402717135</t>
  </si>
  <si>
    <t>Jaya Chandra Panigrahi</t>
  </si>
  <si>
    <t>4017000102780736</t>
  </si>
  <si>
    <t>Sabarinath G</t>
  </si>
  <si>
    <t>4017000102778971</t>
  </si>
  <si>
    <t>Narmada</t>
  </si>
  <si>
    <t>32076912241</t>
  </si>
  <si>
    <t>P Dinesh Kumar</t>
  </si>
  <si>
    <t>4017000102781106</t>
  </si>
  <si>
    <t>G.Devanatha Reddy</t>
  </si>
  <si>
    <t>Dr.C.Vijaya Bhaskar Reddy</t>
  </si>
  <si>
    <t xml:space="preserve">Professor &amp; Vice Principal
</t>
  </si>
  <si>
    <t>4017000102764260</t>
  </si>
  <si>
    <t>V Harinadh</t>
  </si>
  <si>
    <t>Assco.Prof  HOD</t>
  </si>
  <si>
    <t>4017000402728724</t>
  </si>
  <si>
    <t>Dr A.R.Babu</t>
  </si>
  <si>
    <t>Dr C Ahilan</t>
  </si>
  <si>
    <t>Dr V Velu Mani</t>
  </si>
  <si>
    <t>4017000402728867</t>
  </si>
  <si>
    <t>Dr Ranjith Kumar G</t>
  </si>
  <si>
    <t>616065357</t>
  </si>
  <si>
    <t>C.Umamaheswari</t>
  </si>
  <si>
    <t>N.Sakthivelan</t>
  </si>
  <si>
    <t>S. Jawahar</t>
  </si>
  <si>
    <t>P Pradeep</t>
  </si>
  <si>
    <t>4017000402727877</t>
  </si>
  <si>
    <t xml:space="preserve">S Johny James </t>
  </si>
  <si>
    <t>K Divya Teja</t>
  </si>
  <si>
    <t>4017000402727716</t>
  </si>
  <si>
    <t>V K Sri Murali</t>
  </si>
  <si>
    <t>4017000402729042</t>
  </si>
  <si>
    <t>Arun  Sacos</t>
  </si>
  <si>
    <t>A Kesavulu</t>
  </si>
  <si>
    <t>616065335</t>
  </si>
  <si>
    <t xml:space="preserve">A Rajasekhar </t>
  </si>
  <si>
    <t>4017000402717153</t>
  </si>
  <si>
    <t>R Rajesh</t>
  </si>
  <si>
    <t xml:space="preserve">Dr S Jagadeesha </t>
  </si>
  <si>
    <t>4017000402728894</t>
  </si>
  <si>
    <t xml:space="preserve">Dr. T Muni Reddy </t>
  </si>
  <si>
    <t>4198000100062311</t>
  </si>
  <si>
    <t>Dr Jean Jenifer Nesam</t>
  </si>
  <si>
    <t>611062612</t>
  </si>
  <si>
    <t>Dr S Narasimman</t>
  </si>
  <si>
    <t>4017000102780523</t>
  </si>
  <si>
    <t>Dr T S Ghouse Basha</t>
  </si>
  <si>
    <t>V.Jayachandra Naidu</t>
  </si>
  <si>
    <t>S.Nagaraj</t>
  </si>
  <si>
    <t xml:space="preserve">M.Chitra </t>
  </si>
  <si>
    <t>4017000402714466</t>
  </si>
  <si>
    <t>R Malikarjuna Reddy</t>
  </si>
  <si>
    <t>4017000402728928</t>
  </si>
  <si>
    <t>Dr P Bhuvaneswari</t>
  </si>
  <si>
    <t>7926000100018699</t>
  </si>
  <si>
    <t>Priya Darshini</t>
  </si>
  <si>
    <t>4017000402729051</t>
  </si>
  <si>
    <t>K.Venkataramana Reddy</t>
  </si>
  <si>
    <t>4017000102774841</t>
  </si>
  <si>
    <t>Om Prakash</t>
  </si>
  <si>
    <t>M.Mohan Raju</t>
  </si>
  <si>
    <t>4017000402717816</t>
  </si>
  <si>
    <t>D.Srihari</t>
  </si>
  <si>
    <t>M Kalpana</t>
  </si>
  <si>
    <t>4017000402722094</t>
  </si>
  <si>
    <t>D Vani</t>
  </si>
  <si>
    <t>4017000402727497</t>
  </si>
  <si>
    <t xml:space="preserve">Debanjan Sarkar </t>
  </si>
  <si>
    <t>4017000402728760</t>
  </si>
  <si>
    <t xml:space="preserve">M.Chamini </t>
  </si>
  <si>
    <t>4017000302710586</t>
  </si>
  <si>
    <t xml:space="preserve">Anand Prem.PK </t>
  </si>
  <si>
    <t>3301000104118349</t>
  </si>
  <si>
    <t>A.Maheswary</t>
  </si>
  <si>
    <t>Dr.S.Ranjani</t>
  </si>
  <si>
    <t>0486000100375310</t>
  </si>
  <si>
    <t>G.Sreepriya</t>
  </si>
  <si>
    <t>P.Subramanyam</t>
  </si>
  <si>
    <t>4017000402715012</t>
  </si>
  <si>
    <t>R Kannan</t>
  </si>
  <si>
    <t>4017000102780426</t>
  </si>
  <si>
    <t>P.Jyotheeswari</t>
  </si>
  <si>
    <t>K.Thyagarajan</t>
  </si>
  <si>
    <t>Dr Amstrong Joseph</t>
  </si>
  <si>
    <t>062001000808414</t>
  </si>
  <si>
    <t>Dr Krishna Anand</t>
  </si>
  <si>
    <t>Dr Sailesh kumar</t>
  </si>
  <si>
    <t>3032001500001746</t>
  </si>
  <si>
    <t>Dr Sai Prasad</t>
  </si>
  <si>
    <t>4017000102779749</t>
  </si>
  <si>
    <t xml:space="preserve">S.Anusha </t>
  </si>
  <si>
    <t>4017000402725240</t>
  </si>
  <si>
    <t>Viswanath G</t>
  </si>
  <si>
    <t>37834654781</t>
  </si>
  <si>
    <t>A B Manju</t>
  </si>
  <si>
    <t>4017000402718213</t>
  </si>
  <si>
    <t>T Sangeetha</t>
  </si>
  <si>
    <t>13002612000179</t>
  </si>
  <si>
    <t>Sathish Kumar N</t>
  </si>
  <si>
    <t>218001001044524</t>
  </si>
  <si>
    <t>Amit Ranjan</t>
  </si>
  <si>
    <t>3292004800000035</t>
  </si>
  <si>
    <t>J Balaji</t>
  </si>
  <si>
    <t>Placement Trainer</t>
  </si>
  <si>
    <t>4017000402727655</t>
  </si>
  <si>
    <t>M B Sailaja</t>
  </si>
  <si>
    <t>4017000102780833</t>
  </si>
  <si>
    <t>Pandreti Praveen</t>
  </si>
  <si>
    <t>4017000402729352</t>
  </si>
  <si>
    <t>P Shanumuga Sundari</t>
  </si>
  <si>
    <t>0486000100375329</t>
  </si>
  <si>
    <t>Sujitha K Y</t>
  </si>
  <si>
    <t>181810100171262</t>
  </si>
  <si>
    <t>R Eswar Reddy</t>
  </si>
  <si>
    <t>4017000102779776</t>
  </si>
  <si>
    <t>Dr.D.Bright Anand</t>
  </si>
  <si>
    <t>605801508001</t>
  </si>
  <si>
    <t>Dr.R.Madonna Arith</t>
  </si>
  <si>
    <t>10743027376</t>
  </si>
  <si>
    <t>Dr.B Chandra Sekhar</t>
  </si>
  <si>
    <t>069001503409</t>
  </si>
  <si>
    <t>SK Jamil Ahmed</t>
  </si>
  <si>
    <t>0183040120001369</t>
  </si>
  <si>
    <t>V Chandra Sekhar</t>
  </si>
  <si>
    <t>1425101023269</t>
  </si>
  <si>
    <t>Akora Murthy</t>
  </si>
  <si>
    <t>127801000021321</t>
  </si>
  <si>
    <t>D Nowshad Ali</t>
  </si>
  <si>
    <t>30075918883</t>
  </si>
  <si>
    <t>C Gnanaprakasam</t>
  </si>
  <si>
    <t>117001000822495</t>
  </si>
  <si>
    <t>M Vivekanandan</t>
  </si>
  <si>
    <t>421531433</t>
  </si>
  <si>
    <t xml:space="preserve">Dr J.Velmurugan </t>
  </si>
  <si>
    <t>Rajib Guhathakurta</t>
  </si>
  <si>
    <t>Assoc Prof</t>
  </si>
  <si>
    <t>0184104000162456</t>
  </si>
  <si>
    <t>B.Himabindu</t>
  </si>
  <si>
    <t>4198000100062454</t>
  </si>
  <si>
    <t>M Madhavan</t>
  </si>
  <si>
    <t>35893925939</t>
  </si>
  <si>
    <t>M.Sadhasivam</t>
  </si>
  <si>
    <t>30505828381</t>
  </si>
  <si>
    <t>Assoc.Prof
&amp; HOD</t>
  </si>
  <si>
    <t>4017000402713926</t>
  </si>
  <si>
    <t>A.M.Rangaraj</t>
  </si>
  <si>
    <t>4017000402714925</t>
  </si>
  <si>
    <t xml:space="preserve">Viswanath Mudaliar </t>
  </si>
  <si>
    <t>4017000402728946</t>
  </si>
  <si>
    <t>Nihar Ranjan Nayak</t>
  </si>
  <si>
    <t>605868517</t>
  </si>
  <si>
    <t>Subrata Chowdhury</t>
  </si>
  <si>
    <t>6049650392</t>
  </si>
  <si>
    <t>Professor
&amp; HOD</t>
  </si>
  <si>
    <t>Dr.N.Giri Babu</t>
  </si>
  <si>
    <t xml:space="preserve">Asso.Prof
</t>
  </si>
  <si>
    <t>Dr.M.Vidhya Sagar</t>
  </si>
  <si>
    <t>4017000402717205</t>
  </si>
  <si>
    <t xml:space="preserve">T.Raja Reddy </t>
  </si>
  <si>
    <t>Assoc.Prof&amp; HOD</t>
  </si>
  <si>
    <t>4017000402714059</t>
  </si>
  <si>
    <t>Somdev Bannerjee</t>
  </si>
  <si>
    <t>Director-TAP</t>
  </si>
  <si>
    <t>4017000402728627</t>
  </si>
  <si>
    <t>K.Srinivasan</t>
  </si>
  <si>
    <t>4017000402717603</t>
  </si>
  <si>
    <t xml:space="preserve">Dr.C.Rajanikanth </t>
  </si>
  <si>
    <t>4017000402715377</t>
  </si>
  <si>
    <t>R.Hemanth Babu</t>
  </si>
  <si>
    <t>4017000402716987</t>
  </si>
  <si>
    <t>G.Rakesh Naidu</t>
  </si>
  <si>
    <t>4017000402715483</t>
  </si>
  <si>
    <t>M  Mohana Sundara Rajan</t>
  </si>
  <si>
    <t>4017000402727664</t>
  </si>
  <si>
    <t xml:space="preserve">M Pragnashree </t>
  </si>
  <si>
    <t>4017000402716066</t>
  </si>
  <si>
    <t>Rama Thulasi</t>
  </si>
  <si>
    <t>Ph.D Scholar</t>
  </si>
  <si>
    <t>Assoc.Prof&amp;HOD</t>
  </si>
  <si>
    <t>Dr. Sudharsan Reddy</t>
  </si>
  <si>
    <t>4017000402715605</t>
  </si>
  <si>
    <t>Dr S Gouse Mohiddin</t>
  </si>
  <si>
    <t>4017000102779837</t>
  </si>
  <si>
    <t>Dr.Saran Raj</t>
  </si>
  <si>
    <t>4401000101084001</t>
  </si>
  <si>
    <t>T.Rajit Madhu Priya</t>
  </si>
  <si>
    <t>4017000402714800</t>
  </si>
  <si>
    <t xml:space="preserve">A Mohan Rami Reddy </t>
  </si>
  <si>
    <t>4017000402722304</t>
  </si>
  <si>
    <t>C.K.Selvi</t>
  </si>
  <si>
    <t>P Gopi Krishna</t>
  </si>
  <si>
    <t>G Naresh</t>
  </si>
  <si>
    <t>4017000402727390</t>
  </si>
  <si>
    <t>R Mohammed Ismail</t>
  </si>
  <si>
    <t>4017000102779688</t>
  </si>
  <si>
    <t>R Mohan Babu</t>
  </si>
  <si>
    <t>4017000402727549</t>
  </si>
  <si>
    <t>Dileep</t>
  </si>
  <si>
    <t>4017000102779679</t>
  </si>
  <si>
    <t>B Mahesh</t>
  </si>
  <si>
    <t>4017000402729370</t>
  </si>
  <si>
    <t>D Kishore</t>
  </si>
  <si>
    <t>22612413000363</t>
  </si>
  <si>
    <t>Shaik Ayesha</t>
  </si>
  <si>
    <t>4017000402729389</t>
  </si>
  <si>
    <t>R Dinesh Babu</t>
  </si>
  <si>
    <t>0486000100375189</t>
  </si>
  <si>
    <t>V Joysrani</t>
  </si>
  <si>
    <t>31713797845</t>
  </si>
  <si>
    <t>Padmavathi</t>
  </si>
  <si>
    <t>4017000402716640</t>
  </si>
  <si>
    <t>P M Badusha</t>
  </si>
  <si>
    <t>20228917178</t>
  </si>
  <si>
    <t>Polayiah</t>
  </si>
  <si>
    <t>20314110033</t>
  </si>
  <si>
    <t xml:space="preserve">R Mahesh </t>
  </si>
  <si>
    <t>4017000402727691</t>
  </si>
  <si>
    <t>R Vidya</t>
  </si>
  <si>
    <t>4017000402727646</t>
  </si>
  <si>
    <t>S Devayani</t>
  </si>
  <si>
    <t>168301000014598</t>
  </si>
  <si>
    <t>Dr.Gowri Shankar</t>
  </si>
  <si>
    <t>736304898</t>
  </si>
  <si>
    <t>Salary Bill for the Month of July 2018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</si>
</sst>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  <numFmt numFmtId="179" formatCode="_(* #,##0.0_);_(* \(#,##0.0\);_(* &quot;-&quot;??_);_(@_)"/>
  </numFmts>
  <fonts count="42">
    <font>
      <sz val="11"/>
      <color rgb="FF000000"/>
      <name val="Calibri"/>
      <charset val="134"/>
      <scheme val="minor"/>
    </font>
    <font>
      <b/>
      <sz val="10"/>
      <color rgb="FF17365D"/>
      <name val="Calibri"/>
      <charset val="134"/>
    </font>
    <font>
      <sz val="10"/>
      <name val="Calibri"/>
      <charset val="134"/>
    </font>
    <font>
      <b/>
      <sz val="10"/>
      <name val="Calibri"/>
      <charset val="134"/>
    </font>
    <font>
      <sz val="10"/>
      <color rgb="FF506070"/>
      <name val="Effra"/>
      <charset val="134"/>
    </font>
    <font>
      <sz val="10"/>
      <color rgb="FF000000"/>
      <name val="Times New Roman"/>
      <charset val="134"/>
    </font>
    <font>
      <sz val="10"/>
      <color rgb="FFFF0000"/>
      <name val="Times New Roman"/>
      <charset val="134"/>
    </font>
    <font>
      <sz val="10"/>
      <name val="Times New Roman"/>
      <charset val="134"/>
    </font>
    <font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9"/>
      <color rgb="FF000000"/>
      <name val="Times New Roman"/>
      <charset val="134"/>
    </font>
    <font>
      <b/>
      <sz val="10"/>
      <color rgb="FF17365D"/>
      <name val="Times New Roman"/>
      <charset val="134"/>
    </font>
    <font>
      <b/>
      <sz val="10"/>
      <name val="Times New Roman"/>
      <charset val="134"/>
    </font>
    <font>
      <b/>
      <sz val="8"/>
      <name val="Times New Roman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sz val="8"/>
      <name val="Times New Roman"/>
      <charset val="134"/>
    </font>
    <font>
      <sz val="10"/>
      <color theme="1"/>
      <name val="Times New Roman"/>
      <charset val="134"/>
    </font>
    <font>
      <b/>
      <sz val="12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9"/>
      <color rgb="FF17365D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8" borderId="1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18" applyNumberFormat="0" applyAlignment="0" applyProtection="0">
      <alignment vertical="center"/>
    </xf>
    <xf numFmtId="0" fontId="32" fillId="10" borderId="19" applyNumberFormat="0" applyAlignment="0" applyProtection="0">
      <alignment vertical="center"/>
    </xf>
    <xf numFmtId="0" fontId="33" fillId="10" borderId="18" applyNumberFormat="0" applyAlignment="0" applyProtection="0">
      <alignment vertical="center"/>
    </xf>
    <xf numFmtId="0" fontId="34" fillId="11" borderId="20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17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178" fontId="2" fillId="2" borderId="0" xfId="0" applyNumberFormat="1" applyFont="1" applyFill="1" applyAlignment="1">
      <alignment vertical="center" wrapText="1"/>
    </xf>
    <xf numFmtId="178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left" vertical="center" wrapText="1"/>
    </xf>
    <xf numFmtId="178" fontId="2" fillId="3" borderId="0" xfId="0" applyNumberFormat="1" applyFont="1" applyFill="1" applyAlignment="1">
      <alignment horizontal="center" vertical="center"/>
    </xf>
    <xf numFmtId="178" fontId="2" fillId="3" borderId="0" xfId="0" applyNumberFormat="1" applyFont="1" applyFill="1" applyAlignment="1">
      <alignment vertical="center" wrapText="1"/>
    </xf>
    <xf numFmtId="178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78" fontId="2" fillId="0" borderId="1" xfId="0" applyNumberFormat="1" applyFont="1" applyBorder="1" applyAlignment="1">
      <alignment vertical="center"/>
    </xf>
    <xf numFmtId="178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78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178" fontId="2" fillId="4" borderId="0" xfId="0" applyNumberFormat="1" applyFont="1" applyFill="1" applyAlignment="1">
      <alignment horizontal="center" vertical="center" wrapText="1"/>
    </xf>
    <xf numFmtId="43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horizontal="center" vertical="center" wrapText="1"/>
    </xf>
    <xf numFmtId="4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78" fontId="2" fillId="4" borderId="0" xfId="0" applyNumberFormat="1" applyFont="1" applyFill="1" applyAlignment="1">
      <alignment vertical="center" wrapText="1"/>
    </xf>
    <xf numFmtId="178" fontId="2" fillId="4" borderId="0" xfId="0" applyNumberFormat="1" applyFont="1" applyFill="1" applyAlignment="1">
      <alignment horizontal="left" vertical="center" wrapText="1"/>
    </xf>
    <xf numFmtId="178" fontId="3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 wrapText="1"/>
    </xf>
    <xf numFmtId="178" fontId="2" fillId="0" borderId="0" xfId="0" applyNumberFormat="1" applyFont="1" applyAlignment="1">
      <alignment horizontal="center" vertical="center" wrapText="1"/>
    </xf>
    <xf numFmtId="0" fontId="4" fillId="0" borderId="0" xfId="0" applyFont="1"/>
    <xf numFmtId="178" fontId="2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178" fontId="7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center"/>
    </xf>
    <xf numFmtId="0" fontId="5" fillId="0" borderId="0" xfId="0" applyFont="1"/>
    <xf numFmtId="179" fontId="7" fillId="0" borderId="0" xfId="0" applyNumberFormat="1" applyFont="1"/>
    <xf numFmtId="0" fontId="5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79" fontId="12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2" fillId="5" borderId="8" xfId="0" applyFont="1" applyFill="1" applyBorder="1" applyAlignment="1">
      <alignment vertical="center" wrapText="1"/>
    </xf>
    <xf numFmtId="179" fontId="12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78" fontId="15" fillId="0" borderId="8" xfId="0" applyNumberFormat="1" applyFont="1" applyBorder="1" applyAlignment="1">
      <alignment horizontal="center" vertical="center"/>
    </xf>
    <xf numFmtId="178" fontId="7" fillId="0" borderId="8" xfId="0" applyNumberFormat="1" applyFont="1" applyBorder="1" applyAlignment="1">
      <alignment vertical="center" wrapText="1"/>
    </xf>
    <xf numFmtId="178" fontId="7" fillId="0" borderId="8" xfId="0" applyNumberFormat="1" applyFont="1" applyBorder="1" applyAlignment="1">
      <alignment horizontal="center" vertical="center" wrapText="1"/>
    </xf>
    <xf numFmtId="178" fontId="7" fillId="0" borderId="8" xfId="0" applyNumberFormat="1" applyFont="1" applyBorder="1" applyAlignment="1">
      <alignment horizontal="center" vertical="center"/>
    </xf>
    <xf numFmtId="179" fontId="7" fillId="0" borderId="8" xfId="0" applyNumberFormat="1" applyFont="1" applyBorder="1" applyAlignment="1">
      <alignment horizontal="center" vertical="center" wrapText="1"/>
    </xf>
    <xf numFmtId="178" fontId="16" fillId="0" borderId="8" xfId="0" applyNumberFormat="1" applyFont="1" applyBorder="1" applyAlignment="1">
      <alignment horizontal="center" vertical="center"/>
    </xf>
    <xf numFmtId="178" fontId="15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178" fontId="15" fillId="6" borderId="8" xfId="0" applyNumberFormat="1" applyFont="1" applyFill="1" applyBorder="1" applyAlignment="1">
      <alignment horizontal="center" vertical="center"/>
    </xf>
    <xf numFmtId="178" fontId="7" fillId="3" borderId="8" xfId="0" applyNumberFormat="1" applyFont="1" applyFill="1" applyBorder="1" applyAlignment="1">
      <alignment vertical="center" wrapText="1"/>
    </xf>
    <xf numFmtId="178" fontId="7" fillId="3" borderId="8" xfId="0" applyNumberFormat="1" applyFont="1" applyFill="1" applyBorder="1" applyAlignment="1">
      <alignment horizontal="center" vertical="center" wrapText="1"/>
    </xf>
    <xf numFmtId="178" fontId="7" fillId="3" borderId="8" xfId="0" applyNumberFormat="1" applyFont="1" applyFill="1" applyBorder="1" applyAlignment="1">
      <alignment horizontal="center" vertical="center"/>
    </xf>
    <xf numFmtId="178" fontId="7" fillId="6" borderId="8" xfId="0" applyNumberFormat="1" applyFont="1" applyFill="1" applyBorder="1" applyAlignment="1">
      <alignment horizontal="center" vertical="center"/>
    </xf>
    <xf numFmtId="179" fontId="7" fillId="6" borderId="8" xfId="0" applyNumberFormat="1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178" fontId="12" fillId="5" borderId="8" xfId="0" applyNumberFormat="1" applyFont="1" applyFill="1" applyBorder="1" applyAlignment="1">
      <alignment vertical="center" wrapText="1"/>
    </xf>
    <xf numFmtId="178" fontId="7" fillId="7" borderId="8" xfId="0" applyNumberFormat="1" applyFont="1" applyFill="1" applyBorder="1" applyAlignment="1">
      <alignment vertical="center" wrapText="1"/>
    </xf>
    <xf numFmtId="178" fontId="7" fillId="7" borderId="8" xfId="0" applyNumberFormat="1" applyFont="1" applyFill="1" applyBorder="1" applyAlignment="1">
      <alignment horizontal="center" vertical="center" wrapText="1"/>
    </xf>
    <xf numFmtId="178" fontId="7" fillId="7" borderId="8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17" fillId="7" borderId="8" xfId="0" applyFont="1" applyFill="1" applyBorder="1" applyAlignment="1" applyProtection="1">
      <alignment horizontal="center" vertical="center"/>
      <protection hidden="1"/>
    </xf>
    <xf numFmtId="0" fontId="7" fillId="7" borderId="8" xfId="0" applyFont="1" applyFill="1" applyBorder="1" applyAlignment="1">
      <alignment horizontal="center" vertical="center"/>
    </xf>
    <xf numFmtId="0" fontId="7" fillId="0" borderId="9" xfId="1" applyNumberFormat="1" applyFont="1" applyFill="1" applyBorder="1" applyAlignment="1" applyProtection="1">
      <alignment horizontal="center" vertical="center"/>
      <protection hidden="1"/>
    </xf>
    <xf numFmtId="0" fontId="17" fillId="0" borderId="8" xfId="0" applyFont="1" applyBorder="1" applyAlignment="1" applyProtection="1">
      <alignment horizontal="center" vertical="center"/>
      <protection hidden="1"/>
    </xf>
    <xf numFmtId="179" fontId="7" fillId="7" borderId="8" xfId="0" applyNumberFormat="1" applyFont="1" applyFill="1" applyBorder="1" applyAlignment="1">
      <alignment horizontal="center" vertical="center" wrapText="1"/>
    </xf>
    <xf numFmtId="178" fontId="7" fillId="0" borderId="8" xfId="0" applyNumberFormat="1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178" fontId="7" fillId="0" borderId="8" xfId="0" applyNumberFormat="1" applyFont="1" applyFill="1" applyBorder="1" applyAlignment="1">
      <alignment vertical="center" wrapText="1"/>
    </xf>
    <xf numFmtId="178" fontId="7" fillId="0" borderId="8" xfId="0" applyNumberFormat="1" applyFont="1" applyFill="1" applyBorder="1" applyAlignment="1">
      <alignment horizontal="center" vertical="center" wrapText="1"/>
    </xf>
    <xf numFmtId="178" fontId="7" fillId="0" borderId="8" xfId="0" applyNumberFormat="1" applyFont="1" applyFill="1" applyBorder="1" applyAlignment="1">
      <alignment horizontal="center" vertical="center"/>
    </xf>
    <xf numFmtId="179" fontId="7" fillId="0" borderId="8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178" fontId="7" fillId="0" borderId="10" xfId="0" applyNumberFormat="1" applyFont="1" applyBorder="1" applyAlignment="1">
      <alignment vertical="center" wrapText="1"/>
    </xf>
    <xf numFmtId="178" fontId="7" fillId="0" borderId="10" xfId="0" applyNumberFormat="1" applyFont="1" applyBorder="1" applyAlignment="1">
      <alignment horizontal="center" vertical="center" wrapText="1"/>
    </xf>
    <xf numFmtId="178" fontId="7" fillId="0" borderId="10" xfId="0" applyNumberFormat="1" applyFont="1" applyBorder="1" applyAlignment="1">
      <alignment horizontal="center" vertical="center"/>
    </xf>
    <xf numFmtId="179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8" xfId="1" applyNumberFormat="1" applyFont="1" applyFill="1" applyBorder="1" applyAlignment="1" applyProtection="1">
      <alignment horizontal="center" vertical="center"/>
      <protection hidden="1"/>
    </xf>
    <xf numFmtId="0" fontId="7" fillId="0" borderId="0" xfId="0" applyFont="1" applyAlignment="1">
      <alignment horizontal="center"/>
    </xf>
    <xf numFmtId="178" fontId="7" fillId="0" borderId="13" xfId="0" applyNumberFormat="1" applyFont="1" applyBorder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178" fontId="7" fillId="0" borderId="14" xfId="0" applyNumberFormat="1" applyFont="1" applyBorder="1" applyAlignment="1">
      <alignment horizontal="center" vertical="center"/>
    </xf>
    <xf numFmtId="178" fontId="7" fillId="0" borderId="13" xfId="0" applyNumberFormat="1" applyFont="1" applyBorder="1" applyAlignment="1">
      <alignment horizontal="center" vertical="center"/>
    </xf>
    <xf numFmtId="179" fontId="7" fillId="0" borderId="13" xfId="0" applyNumberFormat="1" applyFont="1" applyBorder="1" applyAlignment="1">
      <alignment horizontal="center" vertical="center" wrapText="1"/>
    </xf>
    <xf numFmtId="178" fontId="7" fillId="0" borderId="14" xfId="0" applyNumberFormat="1" applyFont="1" applyBorder="1" applyAlignment="1">
      <alignment horizontal="center" vertical="center" wrapText="1"/>
    </xf>
    <xf numFmtId="0" fontId="7" fillId="0" borderId="2" xfId="1" applyNumberFormat="1" applyFont="1" applyFill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178" fontId="6" fillId="0" borderId="8" xfId="0" applyNumberFormat="1" applyFont="1" applyBorder="1" applyAlignment="1">
      <alignment vertical="center" wrapText="1"/>
    </xf>
    <xf numFmtId="178" fontId="6" fillId="0" borderId="13" xfId="0" applyNumberFormat="1" applyFont="1" applyBorder="1" applyAlignment="1">
      <alignment horizontal="center" vertical="center" wrapText="1"/>
    </xf>
    <xf numFmtId="178" fontId="6" fillId="0" borderId="8" xfId="0" applyNumberFormat="1" applyFont="1" applyBorder="1" applyAlignment="1">
      <alignment horizontal="center" vertical="center"/>
    </xf>
    <xf numFmtId="179" fontId="6" fillId="0" borderId="8" xfId="0" applyNumberFormat="1" applyFont="1" applyBorder="1" applyAlignment="1">
      <alignment horizontal="center" vertical="center" wrapText="1"/>
    </xf>
    <xf numFmtId="178" fontId="6" fillId="0" borderId="8" xfId="0" applyNumberFormat="1" applyFont="1" applyBorder="1" applyAlignment="1">
      <alignment horizontal="center" vertical="center" wrapText="1"/>
    </xf>
    <xf numFmtId="0" fontId="6" fillId="0" borderId="8" xfId="1" applyNumberFormat="1" applyFont="1" applyFill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center"/>
    </xf>
    <xf numFmtId="178" fontId="15" fillId="0" borderId="8" xfId="0" applyNumberFormat="1" applyFont="1" applyFill="1" applyBorder="1" applyAlignment="1">
      <alignment horizontal="center" vertical="center"/>
    </xf>
    <xf numFmtId="178" fontId="16" fillId="0" borderId="8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78" fontId="7" fillId="6" borderId="8" xfId="0" applyNumberFormat="1" applyFont="1" applyFill="1" applyBorder="1" applyAlignment="1">
      <alignment vertical="center" wrapText="1"/>
    </xf>
    <xf numFmtId="178" fontId="7" fillId="6" borderId="8" xfId="0" applyNumberFormat="1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43" fontId="7" fillId="0" borderId="8" xfId="0" applyNumberFormat="1" applyFont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43" fontId="7" fillId="0" borderId="8" xfId="0" applyNumberFormat="1" applyFont="1" applyFill="1" applyBorder="1" applyAlignment="1">
      <alignment horizontal="center" vertical="center"/>
    </xf>
    <xf numFmtId="178" fontId="14" fillId="0" borderId="8" xfId="0" applyNumberFormat="1" applyFont="1" applyBorder="1" applyAlignment="1">
      <alignment horizontal="center" vertical="center"/>
    </xf>
    <xf numFmtId="178" fontId="18" fillId="0" borderId="8" xfId="0" applyNumberFormat="1" applyFont="1" applyBorder="1" applyAlignment="1">
      <alignment vertical="center" wrapText="1"/>
    </xf>
    <xf numFmtId="178" fontId="12" fillId="0" borderId="8" xfId="0" applyNumberFormat="1" applyFont="1" applyBorder="1" applyAlignment="1">
      <alignment horizontal="center" vertical="center" wrapText="1"/>
    </xf>
    <xf numFmtId="178" fontId="14" fillId="0" borderId="8" xfId="0" applyNumberFormat="1" applyFont="1" applyBorder="1" applyAlignment="1">
      <alignment horizontal="center" vertical="center" wrapText="1"/>
    </xf>
    <xf numFmtId="178" fontId="14" fillId="0" borderId="0" xfId="0" applyNumberFormat="1" applyFont="1" applyAlignment="1">
      <alignment horizontal="center" vertical="center"/>
    </xf>
    <xf numFmtId="178" fontId="12" fillId="0" borderId="0" xfId="0" applyNumberFormat="1" applyFont="1" applyAlignment="1">
      <alignment vertical="center" wrapText="1"/>
    </xf>
    <xf numFmtId="178" fontId="12" fillId="0" borderId="0" xfId="0" applyNumberFormat="1" applyFont="1" applyAlignment="1">
      <alignment horizontal="center" vertical="center" wrapText="1"/>
    </xf>
    <xf numFmtId="179" fontId="1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8" fontId="19" fillId="0" borderId="1" xfId="0" applyNumberFormat="1" applyFont="1" applyBorder="1" applyAlignment="1">
      <alignment horizontal="center"/>
    </xf>
    <xf numFmtId="178" fontId="19" fillId="0" borderId="1" xfId="0" applyNumberFormat="1" applyFont="1" applyBorder="1" applyAlignment="1">
      <alignment vertical="center"/>
    </xf>
    <xf numFmtId="178" fontId="12" fillId="0" borderId="1" xfId="0" applyNumberFormat="1" applyFont="1" applyBorder="1" applyAlignment="1">
      <alignment horizontal="center"/>
    </xf>
    <xf numFmtId="178" fontId="12" fillId="0" borderId="1" xfId="0" applyNumberFormat="1" applyFont="1" applyBorder="1" applyAlignment="1"/>
    <xf numFmtId="178" fontId="19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78" fontId="15" fillId="0" borderId="0" xfId="0" applyNumberFormat="1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179" fontId="12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178" fontId="12" fillId="0" borderId="0" xfId="0" applyNumberFormat="1" applyFont="1" applyAlignment="1">
      <alignment vertical="center"/>
    </xf>
    <xf numFmtId="178" fontId="11" fillId="0" borderId="0" xfId="0" applyNumberFormat="1" applyFont="1" applyAlignment="1">
      <alignment horizontal="center" vertical="center" wrapText="1"/>
    </xf>
    <xf numFmtId="178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79" fontId="7" fillId="0" borderId="0" xfId="0" applyNumberFormat="1" applyFont="1" applyAlignment="1">
      <alignment horizontal="center" vertical="center"/>
    </xf>
    <xf numFmtId="0" fontId="7" fillId="0" borderId="9" xfId="0" applyFont="1" applyBorder="1" applyAlignment="1" quotePrefix="1">
      <alignment horizontal="center" vertical="center"/>
    </xf>
    <xf numFmtId="0" fontId="7" fillId="3" borderId="9" xfId="0" applyFont="1" applyFill="1" applyBorder="1" applyAlignment="1" quotePrefix="1">
      <alignment horizontal="center" vertical="center"/>
    </xf>
    <xf numFmtId="0" fontId="7" fillId="7" borderId="9" xfId="0" applyFont="1" applyFill="1" applyBorder="1" applyAlignment="1" quotePrefix="1">
      <alignment horizontal="center" vertical="center"/>
    </xf>
    <xf numFmtId="0" fontId="7" fillId="0" borderId="9" xfId="1" applyNumberFormat="1" applyFont="1" applyFill="1" applyBorder="1" applyAlignment="1" applyProtection="1" quotePrefix="1">
      <alignment horizontal="center" vertical="center"/>
      <protection hidden="1"/>
    </xf>
    <xf numFmtId="0" fontId="7" fillId="0" borderId="8" xfId="0" applyFont="1" applyBorder="1" applyAlignment="1" quotePrefix="1">
      <alignment horizontal="center" vertical="center"/>
    </xf>
    <xf numFmtId="0" fontId="5" fillId="0" borderId="9" xfId="0" applyFont="1" applyBorder="1" applyAlignment="1" quotePrefix="1">
      <alignment horizontal="center" vertical="center" wrapText="1"/>
    </xf>
    <xf numFmtId="0" fontId="7" fillId="0" borderId="9" xfId="0" applyFont="1" applyFill="1" applyBorder="1" applyAlignment="1" quotePrefix="1">
      <alignment horizontal="center" vertical="center"/>
    </xf>
    <xf numFmtId="0" fontId="7" fillId="0" borderId="11" xfId="0" applyFont="1" applyBorder="1" applyAlignment="1" quotePrefix="1">
      <alignment horizontal="center" vertical="center"/>
    </xf>
    <xf numFmtId="0" fontId="7" fillId="0" borderId="8" xfId="1" applyNumberFormat="1" applyFont="1" applyFill="1" applyBorder="1" applyAlignment="1" applyProtection="1" quotePrefix="1">
      <alignment horizontal="center" vertical="center"/>
      <protection hidden="1"/>
    </xf>
    <xf numFmtId="0" fontId="7" fillId="0" borderId="2" xfId="1" applyNumberFormat="1" applyFont="1" applyFill="1" applyBorder="1" applyAlignment="1" applyProtection="1" quotePrefix="1">
      <alignment horizontal="center" vertical="center"/>
      <protection hidden="1"/>
    </xf>
    <xf numFmtId="0" fontId="6" fillId="0" borderId="8" xfId="1" applyNumberFormat="1" applyFont="1" applyFill="1" applyBorder="1" applyAlignment="1" applyProtection="1" quotePrefix="1">
      <alignment horizontal="center" vertical="center"/>
      <protection hidden="1"/>
    </xf>
    <xf numFmtId="178" fontId="7" fillId="0" borderId="8" xfId="0" applyNumberFormat="1" applyFont="1" applyBorder="1" applyAlignment="1" quotePrefix="1">
      <alignment horizontal="center" vertical="center"/>
    </xf>
    <xf numFmtId="0" fontId="7" fillId="0" borderId="9" xfId="0" applyFont="1" applyBorder="1" applyAlignment="1" quotePrefix="1">
      <alignment horizontal="center" vertical="center" wrapText="1"/>
    </xf>
    <xf numFmtId="43" fontId="7" fillId="0" borderId="8" xfId="0" applyNumberFormat="1" applyFont="1" applyBorder="1" applyAlignment="1" quotePrefix="1">
      <alignment horizontal="center" vertical="center"/>
    </xf>
    <xf numFmtId="43" fontId="7" fillId="0" borderId="8" xfId="0" applyNumberFormat="1" applyFont="1" applyFill="1" applyBorder="1" applyAlignment="1" quotePrefix="1">
      <alignment horizontal="center" vertical="center"/>
    </xf>
    <xf numFmtId="43" fontId="2" fillId="0" borderId="0" xfId="0" applyNumberFormat="1" applyFont="1" applyAlignment="1" quotePrefix="1">
      <alignment horizontal="center" vertical="center"/>
    </xf>
    <xf numFmtId="43" fontId="2" fillId="4" borderId="0" xfId="0" applyNumberFormat="1" applyFont="1" applyFill="1" applyAlignment="1" quotePrefix="1">
      <alignment horizontal="center" vertical="center"/>
    </xf>
    <xf numFmtId="0" fontId="4" fillId="0" borderId="0" xfId="0" applyFont="1" quotePrefix="1"/>
    <xf numFmtId="178" fontId="2" fillId="0" borderId="0" xfId="0" applyNumberFormat="1" applyFont="1" applyAlignment="1" quotePrefix="1">
      <alignment horizontal="center" vertical="center"/>
    </xf>
    <xf numFmtId="178" fontId="2" fillId="2" borderId="0" xfId="0" applyNumberFormat="1" applyFont="1" applyFill="1" applyAlignment="1" quotePrefix="1">
      <alignment horizontal="center" vertical="center"/>
    </xf>
    <xf numFmtId="178" fontId="2" fillId="4" borderId="0" xfId="0" applyNumberFormat="1" applyFont="1" applyFill="1" applyAlignment="1" quotePrefix="1">
      <alignment horizontal="center" vertical="center"/>
    </xf>
    <xf numFmtId="178" fontId="2" fillId="3" borderId="0" xfId="0" applyNumberFormat="1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85D1FF"/>
      <color rgb="008B4583"/>
      <color rgb="00FF6600"/>
      <color rgb="00FF7C80"/>
      <color rgb="00FF66CC"/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B195"/>
  <sheetViews>
    <sheetView tabSelected="1" zoomScale="70" zoomScaleNormal="70" workbookViewId="0">
      <pane ySplit="3" topLeftCell="A183" activePane="bottomLeft" state="frozen"/>
      <selection/>
      <selection pane="bottomLeft" activeCell="Y193" sqref="Y193"/>
    </sheetView>
  </sheetViews>
  <sheetFormatPr defaultColWidth="14.4272727272727" defaultRowHeight="15" customHeight="1"/>
  <cols>
    <col min="1" max="1" width="4.85454545454545" style="48" customWidth="1"/>
    <col min="2" max="2" width="23" style="44" customWidth="1"/>
    <col min="3" max="3" width="11" style="49" customWidth="1"/>
    <col min="4" max="4" width="9.42727272727273" style="49" customWidth="1"/>
    <col min="5" max="5" width="10.1363636363636" style="49" hidden="1" customWidth="1"/>
    <col min="6" max="6" width="9.57272727272727" style="49" customWidth="1"/>
    <col min="7" max="8" width="9" style="49" hidden="1" customWidth="1"/>
    <col min="9" max="9" width="6.85454545454545" style="50" customWidth="1"/>
    <col min="10" max="10" width="9.42727272727273" style="49" customWidth="1"/>
    <col min="11" max="11" width="9.57272727272727" style="49" customWidth="1"/>
    <col min="12" max="12" width="8.42727272727273" style="49" customWidth="1"/>
    <col min="13" max="13" width="7" style="49" customWidth="1"/>
    <col min="14" max="14" width="5.13636363636364" style="49" hidden="1" customWidth="1"/>
    <col min="15" max="15" width="7.13636363636364" style="49" customWidth="1"/>
    <col min="16" max="16" width="9" style="49" customWidth="1"/>
    <col min="17" max="17" width="6.57272727272727" style="49" customWidth="1"/>
    <col min="18" max="18" width="8.13636363636364" style="49" customWidth="1"/>
    <col min="19" max="19" width="7.28181818181818" style="49" customWidth="1"/>
    <col min="20" max="20" width="6.85454545454545" style="49" customWidth="1"/>
    <col min="21" max="22" width="6.42727272727273" style="49" customWidth="1"/>
    <col min="23" max="23" width="6.57272727272727" style="49" customWidth="1"/>
    <col min="24" max="24" width="8.42727272727273" style="49" customWidth="1"/>
    <col min="25" max="25" width="8.57272727272727" style="49" customWidth="1"/>
    <col min="26" max="26" width="18.4272727272727" style="51" customWidth="1"/>
    <col min="27" max="27" width="16.4272727272727" style="51" customWidth="1"/>
    <col min="28" max="16384" width="14.4272727272727" style="49"/>
  </cols>
  <sheetData>
    <row r="1" ht="14.5" spans="1:27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4"/>
    </row>
    <row r="2" ht="14.5" spans="1:27">
      <c r="A2" s="55" t="s">
        <v>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7"/>
    </row>
    <row r="3" s="41" customFormat="1" ht="26" spans="1:27">
      <c r="A3" s="58" t="s">
        <v>2</v>
      </c>
      <c r="B3" s="58" t="s">
        <v>3</v>
      </c>
      <c r="C3" s="58" t="s">
        <v>4</v>
      </c>
      <c r="D3" s="58" t="s">
        <v>5</v>
      </c>
      <c r="E3" s="59" t="s">
        <v>6</v>
      </c>
      <c r="F3" s="58" t="s">
        <v>7</v>
      </c>
      <c r="G3" s="58" t="s">
        <v>8</v>
      </c>
      <c r="H3" s="58" t="s">
        <v>9</v>
      </c>
      <c r="I3" s="60" t="s">
        <v>10</v>
      </c>
      <c r="J3" s="58" t="s">
        <v>11</v>
      </c>
      <c r="K3" s="58" t="s">
        <v>12</v>
      </c>
      <c r="L3" s="58" t="s">
        <v>13</v>
      </c>
      <c r="M3" s="61" t="s">
        <v>14</v>
      </c>
      <c r="N3" s="58" t="s">
        <v>15</v>
      </c>
      <c r="O3" s="58" t="s">
        <v>16</v>
      </c>
      <c r="P3" s="58" t="s">
        <v>17</v>
      </c>
      <c r="Q3" s="58" t="s">
        <v>18</v>
      </c>
      <c r="R3" s="58" t="s">
        <v>19</v>
      </c>
      <c r="S3" s="58" t="s">
        <v>20</v>
      </c>
      <c r="T3" s="58" t="s">
        <v>21</v>
      </c>
      <c r="U3" s="58" t="s">
        <v>22</v>
      </c>
      <c r="V3" s="58" t="s">
        <v>23</v>
      </c>
      <c r="W3" s="58" t="s">
        <v>24</v>
      </c>
      <c r="X3" s="58" t="s">
        <v>25</v>
      </c>
      <c r="Y3" s="58" t="s">
        <v>26</v>
      </c>
      <c r="Z3" s="62" t="s">
        <v>27</v>
      </c>
      <c r="AA3" s="63" t="s">
        <v>28</v>
      </c>
    </row>
    <row r="4" ht="14.5" spans="1:27">
      <c r="A4" s="64"/>
      <c r="B4" s="65" t="s">
        <v>29</v>
      </c>
      <c r="C4" s="58"/>
      <c r="D4" s="63"/>
      <c r="E4" s="63"/>
      <c r="F4" s="63"/>
      <c r="G4" s="63"/>
      <c r="H4" s="63"/>
      <c r="I4" s="66">
        <v>31</v>
      </c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2"/>
      <c r="AA4" s="67"/>
    </row>
    <row r="5" ht="26" spans="1:27">
      <c r="A5" s="68">
        <v>1</v>
      </c>
      <c r="B5" s="69" t="s">
        <v>30</v>
      </c>
      <c r="C5" s="70" t="s">
        <v>31</v>
      </c>
      <c r="D5" s="71">
        <v>435000</v>
      </c>
      <c r="E5" s="71">
        <v>435000</v>
      </c>
      <c r="F5" s="71">
        <f t="shared" ref="F5:F7" si="0">ROUND(D5/1.5331,0)</f>
        <v>283739</v>
      </c>
      <c r="G5" s="71"/>
      <c r="H5" s="71"/>
      <c r="I5" s="72">
        <v>31</v>
      </c>
      <c r="J5" s="71">
        <f t="shared" ref="J5:J7" si="1">F5/I$4*I5</f>
        <v>283739</v>
      </c>
      <c r="K5" s="71">
        <f t="shared" ref="K5:K7" si="2">ROUND(J5*37.31%,0)</f>
        <v>105863</v>
      </c>
      <c r="L5" s="71">
        <f t="shared" ref="L5:L7" si="3">ROUND(J5*16%,0)</f>
        <v>45398</v>
      </c>
      <c r="M5" s="71"/>
      <c r="N5" s="71"/>
      <c r="O5" s="71"/>
      <c r="P5" s="70">
        <f t="shared" ref="P5:P7" si="4">ROUNDUP(J5+K5+L5+M5+N5+O5,0)</f>
        <v>435000</v>
      </c>
      <c r="Q5" s="71"/>
      <c r="R5" s="73">
        <v>107107</v>
      </c>
      <c r="S5" s="70">
        <f>IF(P5&gt;20001,200,IF(P5&gt;15001,150,IF(P5&lt;15000,0,)))</f>
        <v>200</v>
      </c>
      <c r="T5" s="70">
        <f>IF(P5,IF(1,75),IF(1,0))</f>
        <v>75</v>
      </c>
      <c r="U5" s="70"/>
      <c r="V5" s="70"/>
      <c r="W5" s="70"/>
      <c r="X5" s="74">
        <f>SUM(Q5:W5)</f>
        <v>107382</v>
      </c>
      <c r="Y5" s="70">
        <f>P5-X5</f>
        <v>327618</v>
      </c>
      <c r="Z5" s="172" t="s">
        <v>32</v>
      </c>
      <c r="AA5" s="67" t="s">
        <v>33</v>
      </c>
    </row>
    <row r="6" ht="26" spans="1:27">
      <c r="A6" s="68">
        <v>2</v>
      </c>
      <c r="B6" s="69" t="s">
        <v>34</v>
      </c>
      <c r="C6" s="70" t="s">
        <v>35</v>
      </c>
      <c r="D6" s="71">
        <v>290000</v>
      </c>
      <c r="E6" s="71">
        <v>290000</v>
      </c>
      <c r="F6" s="71">
        <f t="shared" si="0"/>
        <v>189159</v>
      </c>
      <c r="G6" s="71"/>
      <c r="H6" s="71"/>
      <c r="I6" s="72">
        <v>31</v>
      </c>
      <c r="J6" s="71">
        <f t="shared" si="1"/>
        <v>189159</v>
      </c>
      <c r="K6" s="71">
        <f t="shared" si="2"/>
        <v>70575</v>
      </c>
      <c r="L6" s="71">
        <f t="shared" si="3"/>
        <v>30265</v>
      </c>
      <c r="M6" s="71"/>
      <c r="N6" s="71"/>
      <c r="O6" s="71"/>
      <c r="P6" s="70">
        <f t="shared" si="4"/>
        <v>289999</v>
      </c>
      <c r="Q6" s="71"/>
      <c r="R6" s="71">
        <v>52130</v>
      </c>
      <c r="S6" s="70">
        <f>IF(P6&gt;20001,200,IF(P6&gt;15001,150,IF(P6&lt;15000,0,)))</f>
        <v>200</v>
      </c>
      <c r="T6" s="70">
        <f>IF(P6,IF(1,75),IF(1,0))</f>
        <v>75</v>
      </c>
      <c r="U6" s="70"/>
      <c r="V6" s="70"/>
      <c r="W6" s="70"/>
      <c r="X6" s="70">
        <f>SUM(Q6:W6)</f>
        <v>52405</v>
      </c>
      <c r="Y6" s="70">
        <f>P6-X6</f>
        <v>237594</v>
      </c>
      <c r="Z6" s="172" t="s">
        <v>36</v>
      </c>
      <c r="AA6" s="67" t="s">
        <v>37</v>
      </c>
    </row>
    <row r="7" ht="24.95" customHeight="1" spans="1:27">
      <c r="A7" s="76">
        <v>3</v>
      </c>
      <c r="B7" s="77" t="s">
        <v>38</v>
      </c>
      <c r="C7" s="78" t="s">
        <v>39</v>
      </c>
      <c r="D7" s="79">
        <v>210089</v>
      </c>
      <c r="E7" s="79"/>
      <c r="F7" s="80">
        <f t="shared" si="0"/>
        <v>137035</v>
      </c>
      <c r="G7" s="79"/>
      <c r="H7" s="79">
        <f>G7+F7</f>
        <v>137035</v>
      </c>
      <c r="I7" s="81">
        <v>31</v>
      </c>
      <c r="J7" s="79">
        <f t="shared" si="1"/>
        <v>137035</v>
      </c>
      <c r="K7" s="79">
        <f t="shared" si="2"/>
        <v>51128</v>
      </c>
      <c r="L7" s="79">
        <f t="shared" si="3"/>
        <v>21926</v>
      </c>
      <c r="M7" s="80"/>
      <c r="N7" s="79"/>
      <c r="O7" s="79"/>
      <c r="P7" s="78">
        <f t="shared" si="4"/>
        <v>210089</v>
      </c>
      <c r="Q7" s="79">
        <v>3600</v>
      </c>
      <c r="R7" s="79">
        <v>29000</v>
      </c>
      <c r="S7" s="78">
        <f>IF(P7&gt;20001,200,IF(P7&gt;15001,150,IF(P7&lt;15000,0,)))</f>
        <v>200</v>
      </c>
      <c r="T7" s="78">
        <f>IF(P7,IF(1,75),IF(1,0))</f>
        <v>75</v>
      </c>
      <c r="U7" s="78"/>
      <c r="V7" s="78"/>
      <c r="W7" s="78"/>
      <c r="X7" s="78">
        <f>SUM(Q7:W7)</f>
        <v>32875</v>
      </c>
      <c r="Y7" s="78">
        <f>P7-X7</f>
        <v>177214</v>
      </c>
      <c r="Z7" s="173" t="s">
        <v>40</v>
      </c>
      <c r="AA7" s="83" t="s">
        <v>33</v>
      </c>
    </row>
    <row r="8" ht="14.5" spans="1:27">
      <c r="A8" s="68"/>
      <c r="B8" s="84" t="s">
        <v>41</v>
      </c>
      <c r="C8" s="70"/>
      <c r="D8" s="71"/>
      <c r="E8" s="71"/>
      <c r="F8" s="71"/>
      <c r="G8" s="71"/>
      <c r="H8" s="71"/>
      <c r="I8" s="72"/>
      <c r="J8" s="71"/>
      <c r="K8" s="71"/>
      <c r="L8" s="71"/>
      <c r="M8" s="71"/>
      <c r="N8" s="71"/>
      <c r="O8" s="71"/>
      <c r="P8" s="71"/>
      <c r="Q8" s="71"/>
      <c r="R8" s="71"/>
      <c r="S8" s="70"/>
      <c r="T8" s="70"/>
      <c r="U8" s="70"/>
      <c r="V8" s="70"/>
      <c r="W8" s="70"/>
      <c r="X8" s="70"/>
      <c r="Y8" s="70"/>
      <c r="Z8" s="75"/>
      <c r="AA8" s="67"/>
    </row>
    <row r="9" ht="26" spans="1:27">
      <c r="A9" s="68">
        <v>4</v>
      </c>
      <c r="B9" s="69" t="s">
        <v>42</v>
      </c>
      <c r="C9" s="70" t="s">
        <v>43</v>
      </c>
      <c r="D9" s="71">
        <v>112386</v>
      </c>
      <c r="E9" s="71"/>
      <c r="F9" s="71">
        <f t="shared" ref="F9:F70" si="5">ROUND(D9/1.5331,0)</f>
        <v>73306</v>
      </c>
      <c r="G9" s="71"/>
      <c r="H9" s="71">
        <f t="shared" ref="H9" si="6">G9+F9</f>
        <v>73306</v>
      </c>
      <c r="I9" s="72">
        <v>31</v>
      </c>
      <c r="J9" s="71">
        <f>F9/I$4*I9</f>
        <v>73306</v>
      </c>
      <c r="K9" s="71">
        <f>ROUND(J9*37.31%,0)</f>
        <v>27350</v>
      </c>
      <c r="L9" s="71">
        <f>ROUND(J9*16%,0)</f>
        <v>11729</v>
      </c>
      <c r="M9" s="71"/>
      <c r="N9" s="71"/>
      <c r="O9" s="71"/>
      <c r="P9" s="70">
        <f>ROUNDUP(J9+K9+L9+M9+N9+O9,0)</f>
        <v>112385</v>
      </c>
      <c r="Q9" s="71"/>
      <c r="R9" s="71">
        <v>3800</v>
      </c>
      <c r="S9" s="70">
        <f t="shared" ref="S9" si="7">IF(P9&gt;20001,200,IF(P9&gt;15001,150,IF(P9&lt;15000,0,)))</f>
        <v>200</v>
      </c>
      <c r="T9" s="70">
        <f t="shared" ref="T9" si="8">IF(P9,IF(1,75),IF(1,0))</f>
        <v>75</v>
      </c>
      <c r="U9" s="70"/>
      <c r="V9" s="70"/>
      <c r="W9" s="70"/>
      <c r="X9" s="70">
        <f t="shared" ref="X9" si="9">SUM(Q9:W9)</f>
        <v>4075</v>
      </c>
      <c r="Y9" s="70">
        <f t="shared" ref="Y9" si="10">P9-X9</f>
        <v>108310</v>
      </c>
      <c r="Z9" s="172" t="s">
        <v>44</v>
      </c>
      <c r="AA9" s="67" t="s">
        <v>45</v>
      </c>
    </row>
    <row r="10" ht="22.35" customHeight="1" spans="1:27">
      <c r="A10" s="68">
        <v>5</v>
      </c>
      <c r="B10" s="69" t="s">
        <v>46</v>
      </c>
      <c r="C10" s="70" t="s">
        <v>47</v>
      </c>
      <c r="D10" s="71">
        <v>75000</v>
      </c>
      <c r="E10" s="71"/>
      <c r="F10" s="71">
        <f t="shared" si="5"/>
        <v>48920</v>
      </c>
      <c r="G10" s="71"/>
      <c r="H10" s="71">
        <f t="shared" ref="H10" si="11">F10+G10</f>
        <v>48920</v>
      </c>
      <c r="I10" s="72">
        <v>31</v>
      </c>
      <c r="J10" s="71">
        <f t="shared" ref="J10:J71" si="12">F10/I$4*I10</f>
        <v>48920</v>
      </c>
      <c r="K10" s="71">
        <f t="shared" ref="K10:K71" si="13">ROUND(J10*37.31%,0)</f>
        <v>18252</v>
      </c>
      <c r="L10" s="71">
        <f t="shared" ref="L10:L71" si="14">ROUND(J10*16%,0)</f>
        <v>7827</v>
      </c>
      <c r="M10" s="71"/>
      <c r="N10" s="71"/>
      <c r="O10" s="71"/>
      <c r="P10" s="70">
        <f t="shared" ref="P10:P71" si="15">ROUNDUP(J10+K10+L10+M10+N10+O10,0)</f>
        <v>74999</v>
      </c>
      <c r="Q10" s="71"/>
      <c r="R10" s="71"/>
      <c r="S10" s="70">
        <f t="shared" ref="S10:S16" si="16">IF(P10&gt;20001,200,IF(P10&gt;15001,150,IF(P10&lt;15000,0,)))</f>
        <v>200</v>
      </c>
      <c r="T10" s="70">
        <f t="shared" ref="T10:T16" si="17">IF(P10,IF(1,75),IF(1,0))</f>
        <v>75</v>
      </c>
      <c r="U10" s="70"/>
      <c r="V10" s="70"/>
      <c r="W10" s="70">
        <v>2625</v>
      </c>
      <c r="X10" s="70">
        <f t="shared" ref="X10:X16" si="18">SUM(Q10:W10)</f>
        <v>2900</v>
      </c>
      <c r="Y10" s="70">
        <f t="shared" ref="Y10:Y16" si="19">P10-X10</f>
        <v>72099</v>
      </c>
      <c r="Z10" s="172" t="s">
        <v>48</v>
      </c>
      <c r="AA10" s="67" t="s">
        <v>49</v>
      </c>
    </row>
    <row r="11" ht="22.35" customHeight="1" spans="1:27">
      <c r="A11" s="68">
        <v>6</v>
      </c>
      <c r="B11" s="69" t="s">
        <v>50</v>
      </c>
      <c r="C11" s="70" t="s">
        <v>51</v>
      </c>
      <c r="D11" s="71">
        <v>58148</v>
      </c>
      <c r="E11" s="71"/>
      <c r="F11" s="71">
        <f t="shared" si="5"/>
        <v>37928</v>
      </c>
      <c r="G11" s="71"/>
      <c r="H11" s="71">
        <f>G11+F11</f>
        <v>37928</v>
      </c>
      <c r="I11" s="72">
        <v>31</v>
      </c>
      <c r="J11" s="71">
        <f t="shared" si="12"/>
        <v>37928</v>
      </c>
      <c r="K11" s="71">
        <f t="shared" si="13"/>
        <v>14151</v>
      </c>
      <c r="L11" s="71">
        <f t="shared" si="14"/>
        <v>6068</v>
      </c>
      <c r="M11" s="71"/>
      <c r="N11" s="71"/>
      <c r="O11" s="71"/>
      <c r="P11" s="70">
        <f t="shared" si="15"/>
        <v>58147</v>
      </c>
      <c r="Q11" s="71"/>
      <c r="R11" s="71"/>
      <c r="S11" s="70">
        <f t="shared" si="16"/>
        <v>200</v>
      </c>
      <c r="T11" s="70">
        <f t="shared" si="17"/>
        <v>75</v>
      </c>
      <c r="U11" s="70"/>
      <c r="V11" s="70"/>
      <c r="W11" s="70"/>
      <c r="X11" s="70">
        <f t="shared" si="18"/>
        <v>275</v>
      </c>
      <c r="Y11" s="70">
        <f t="shared" si="19"/>
        <v>57872</v>
      </c>
      <c r="Z11" s="172" t="s">
        <v>52</v>
      </c>
      <c r="AA11" s="67" t="s">
        <v>53</v>
      </c>
    </row>
    <row r="12" ht="22.35" customHeight="1" spans="1:27">
      <c r="A12" s="68">
        <v>7</v>
      </c>
      <c r="B12" s="69" t="s">
        <v>54</v>
      </c>
      <c r="C12" s="70" t="s">
        <v>55</v>
      </c>
      <c r="D12" s="71">
        <v>56353</v>
      </c>
      <c r="E12" s="71"/>
      <c r="F12" s="71">
        <f t="shared" si="5"/>
        <v>36758</v>
      </c>
      <c r="G12" s="71"/>
      <c r="H12" s="71">
        <f t="shared" ref="H12:H13" si="20">G12+F12</f>
        <v>36758</v>
      </c>
      <c r="I12" s="72">
        <v>31</v>
      </c>
      <c r="J12" s="71">
        <f t="shared" si="12"/>
        <v>36758</v>
      </c>
      <c r="K12" s="71">
        <f t="shared" si="13"/>
        <v>13714</v>
      </c>
      <c r="L12" s="71">
        <f t="shared" si="14"/>
        <v>5881</v>
      </c>
      <c r="M12" s="71"/>
      <c r="N12" s="71"/>
      <c r="O12" s="71"/>
      <c r="P12" s="70">
        <f t="shared" si="15"/>
        <v>56353</v>
      </c>
      <c r="Q12" s="71"/>
      <c r="R12" s="71"/>
      <c r="S12" s="70">
        <f t="shared" si="16"/>
        <v>200</v>
      </c>
      <c r="T12" s="70">
        <f t="shared" si="17"/>
        <v>75</v>
      </c>
      <c r="U12" s="70"/>
      <c r="V12" s="70"/>
      <c r="W12" s="70">
        <v>2625</v>
      </c>
      <c r="X12" s="70">
        <f t="shared" si="18"/>
        <v>2900</v>
      </c>
      <c r="Y12" s="70">
        <f t="shared" si="19"/>
        <v>53453</v>
      </c>
      <c r="Z12" s="172" t="s">
        <v>56</v>
      </c>
      <c r="AA12" s="67" t="s">
        <v>45</v>
      </c>
    </row>
    <row r="13" ht="22.35" customHeight="1" spans="1:27">
      <c r="A13" s="68">
        <v>8</v>
      </c>
      <c r="B13" s="69" t="s">
        <v>57</v>
      </c>
      <c r="C13" s="70" t="s">
        <v>55</v>
      </c>
      <c r="D13" s="71">
        <v>51872</v>
      </c>
      <c r="E13" s="71"/>
      <c r="F13" s="71">
        <f t="shared" si="5"/>
        <v>33835</v>
      </c>
      <c r="G13" s="71"/>
      <c r="H13" s="71">
        <f t="shared" si="20"/>
        <v>33835</v>
      </c>
      <c r="I13" s="72">
        <v>31</v>
      </c>
      <c r="J13" s="71">
        <f t="shared" si="12"/>
        <v>33835</v>
      </c>
      <c r="K13" s="71">
        <f t="shared" si="13"/>
        <v>12624</v>
      </c>
      <c r="L13" s="71">
        <f t="shared" si="14"/>
        <v>5414</v>
      </c>
      <c r="M13" s="71"/>
      <c r="N13" s="71"/>
      <c r="O13" s="71"/>
      <c r="P13" s="70">
        <f t="shared" si="15"/>
        <v>51873</v>
      </c>
      <c r="Q13" s="71"/>
      <c r="R13" s="71"/>
      <c r="S13" s="70">
        <f t="shared" si="16"/>
        <v>200</v>
      </c>
      <c r="T13" s="70">
        <f t="shared" si="17"/>
        <v>75</v>
      </c>
      <c r="U13" s="70"/>
      <c r="V13" s="70"/>
      <c r="W13" s="70"/>
      <c r="X13" s="70">
        <f t="shared" si="18"/>
        <v>275</v>
      </c>
      <c r="Y13" s="70">
        <f t="shared" si="19"/>
        <v>51598</v>
      </c>
      <c r="Z13" s="172" t="s">
        <v>58</v>
      </c>
      <c r="AA13" s="67" t="s">
        <v>59</v>
      </c>
    </row>
    <row r="14" ht="22.35" customHeight="1" spans="1:27">
      <c r="A14" s="68">
        <v>9</v>
      </c>
      <c r="B14" s="69" t="s">
        <v>60</v>
      </c>
      <c r="C14" s="70" t="s">
        <v>61</v>
      </c>
      <c r="D14" s="71">
        <v>71155</v>
      </c>
      <c r="E14" s="71"/>
      <c r="F14" s="71">
        <f t="shared" si="5"/>
        <v>46412</v>
      </c>
      <c r="G14" s="71"/>
      <c r="H14" s="71">
        <f t="shared" ref="H14" si="21">G14+F14</f>
        <v>46412</v>
      </c>
      <c r="I14" s="72">
        <v>31</v>
      </c>
      <c r="J14" s="71">
        <f t="shared" si="12"/>
        <v>46412</v>
      </c>
      <c r="K14" s="71">
        <f t="shared" si="13"/>
        <v>17316</v>
      </c>
      <c r="L14" s="71">
        <f t="shared" si="14"/>
        <v>7426</v>
      </c>
      <c r="M14" s="71"/>
      <c r="N14" s="71"/>
      <c r="O14" s="71"/>
      <c r="P14" s="70">
        <f t="shared" si="15"/>
        <v>71154</v>
      </c>
      <c r="Q14" s="71"/>
      <c r="R14" s="71"/>
      <c r="S14" s="70">
        <f t="shared" si="16"/>
        <v>200</v>
      </c>
      <c r="T14" s="70">
        <f t="shared" si="17"/>
        <v>75</v>
      </c>
      <c r="U14" s="70"/>
      <c r="V14" s="70"/>
      <c r="W14" s="70">
        <v>2187</v>
      </c>
      <c r="X14" s="70">
        <f t="shared" si="18"/>
        <v>2462</v>
      </c>
      <c r="Y14" s="70">
        <f t="shared" si="19"/>
        <v>68692</v>
      </c>
      <c r="Z14" s="172" t="s">
        <v>62</v>
      </c>
      <c r="AA14" s="67" t="s">
        <v>33</v>
      </c>
    </row>
    <row r="15" ht="22.35" customHeight="1" spans="1:27">
      <c r="A15" s="68">
        <v>10</v>
      </c>
      <c r="B15" s="69" t="s">
        <v>63</v>
      </c>
      <c r="C15" s="70" t="s">
        <v>61</v>
      </c>
      <c r="D15" s="71">
        <v>26000</v>
      </c>
      <c r="E15" s="71">
        <v>26000</v>
      </c>
      <c r="F15" s="71">
        <f t="shared" si="5"/>
        <v>16959</v>
      </c>
      <c r="G15" s="71"/>
      <c r="H15" s="71"/>
      <c r="I15" s="72">
        <v>31</v>
      </c>
      <c r="J15" s="71">
        <f t="shared" si="12"/>
        <v>16959</v>
      </c>
      <c r="K15" s="71">
        <f t="shared" si="13"/>
        <v>6327</v>
      </c>
      <c r="L15" s="71">
        <f t="shared" si="14"/>
        <v>2713</v>
      </c>
      <c r="M15" s="71"/>
      <c r="N15" s="71"/>
      <c r="O15" s="71"/>
      <c r="P15" s="70">
        <f t="shared" si="15"/>
        <v>25999</v>
      </c>
      <c r="Q15" s="71"/>
      <c r="R15" s="71"/>
      <c r="S15" s="70">
        <f t="shared" si="16"/>
        <v>200</v>
      </c>
      <c r="T15" s="70">
        <f t="shared" si="17"/>
        <v>75</v>
      </c>
      <c r="U15" s="70">
        <v>168</v>
      </c>
      <c r="V15" s="70">
        <v>4000</v>
      </c>
      <c r="W15" s="70"/>
      <c r="X15" s="70">
        <f t="shared" si="18"/>
        <v>4443</v>
      </c>
      <c r="Y15" s="70">
        <f t="shared" si="19"/>
        <v>21556</v>
      </c>
      <c r="Z15" s="172" t="s">
        <v>64</v>
      </c>
      <c r="AA15" s="67" t="s">
        <v>65</v>
      </c>
    </row>
    <row r="16" ht="22.35" customHeight="1" spans="1:27">
      <c r="A16" s="68">
        <v>11</v>
      </c>
      <c r="B16" s="69" t="s">
        <v>66</v>
      </c>
      <c r="C16" s="70" t="s">
        <v>61</v>
      </c>
      <c r="D16" s="71">
        <v>26000</v>
      </c>
      <c r="E16" s="71">
        <v>26000</v>
      </c>
      <c r="F16" s="71">
        <f t="shared" si="5"/>
        <v>16959</v>
      </c>
      <c r="G16" s="71"/>
      <c r="H16" s="71"/>
      <c r="I16" s="72">
        <v>31</v>
      </c>
      <c r="J16" s="71">
        <f t="shared" si="12"/>
        <v>16959</v>
      </c>
      <c r="K16" s="71">
        <f t="shared" si="13"/>
        <v>6327</v>
      </c>
      <c r="L16" s="71">
        <f t="shared" si="14"/>
        <v>2713</v>
      </c>
      <c r="M16" s="71"/>
      <c r="N16" s="71"/>
      <c r="O16" s="71"/>
      <c r="P16" s="70">
        <f t="shared" si="15"/>
        <v>25999</v>
      </c>
      <c r="Q16" s="71"/>
      <c r="R16" s="71"/>
      <c r="S16" s="70">
        <f t="shared" si="16"/>
        <v>200</v>
      </c>
      <c r="T16" s="70">
        <f t="shared" si="17"/>
        <v>75</v>
      </c>
      <c r="U16" s="70"/>
      <c r="V16" s="70"/>
      <c r="W16" s="70"/>
      <c r="X16" s="70">
        <f t="shared" si="18"/>
        <v>275</v>
      </c>
      <c r="Y16" s="70">
        <f t="shared" si="19"/>
        <v>25724</v>
      </c>
      <c r="Z16" s="172" t="s">
        <v>67</v>
      </c>
      <c r="AA16" s="67" t="s">
        <v>68</v>
      </c>
    </row>
    <row r="17" ht="14.5" spans="1:27">
      <c r="A17" s="68"/>
      <c r="B17" s="84" t="s">
        <v>69</v>
      </c>
      <c r="C17" s="70"/>
      <c r="D17" s="71"/>
      <c r="E17" s="71"/>
      <c r="F17" s="71">
        <f t="shared" si="5"/>
        <v>0</v>
      </c>
      <c r="G17" s="71"/>
      <c r="H17" s="71"/>
      <c r="I17" s="72"/>
      <c r="J17" s="71">
        <f t="shared" si="12"/>
        <v>0</v>
      </c>
      <c r="K17" s="71">
        <f t="shared" si="13"/>
        <v>0</v>
      </c>
      <c r="L17" s="71">
        <f t="shared" si="14"/>
        <v>0</v>
      </c>
      <c r="M17" s="71"/>
      <c r="N17" s="71"/>
      <c r="O17" s="71"/>
      <c r="P17" s="70">
        <f t="shared" si="15"/>
        <v>0</v>
      </c>
      <c r="Q17" s="71"/>
      <c r="R17" s="71"/>
      <c r="S17" s="70"/>
      <c r="T17" s="70"/>
      <c r="U17" s="70"/>
      <c r="V17" s="70"/>
      <c r="W17" s="70"/>
      <c r="X17" s="70"/>
      <c r="Y17" s="70"/>
      <c r="Z17" s="75"/>
      <c r="AA17" s="67"/>
    </row>
    <row r="18" ht="22.35" customHeight="1" spans="1:27">
      <c r="A18" s="68">
        <v>12</v>
      </c>
      <c r="B18" s="69" t="s">
        <v>70</v>
      </c>
      <c r="C18" s="70" t="s">
        <v>71</v>
      </c>
      <c r="D18" s="71">
        <v>102498</v>
      </c>
      <c r="E18" s="71"/>
      <c r="F18" s="71">
        <f t="shared" si="5"/>
        <v>66857</v>
      </c>
      <c r="G18" s="71"/>
      <c r="H18" s="71">
        <f t="shared" ref="H18" si="22">G18+F18</f>
        <v>66857</v>
      </c>
      <c r="I18" s="72">
        <v>31</v>
      </c>
      <c r="J18" s="71">
        <f t="shared" si="12"/>
        <v>66857</v>
      </c>
      <c r="K18" s="71">
        <f t="shared" si="13"/>
        <v>24944</v>
      </c>
      <c r="L18" s="71">
        <f t="shared" si="14"/>
        <v>10697</v>
      </c>
      <c r="M18" s="71"/>
      <c r="N18" s="71"/>
      <c r="O18" s="71"/>
      <c r="P18" s="70">
        <f t="shared" si="15"/>
        <v>102498</v>
      </c>
      <c r="Q18" s="71">
        <v>3600</v>
      </c>
      <c r="R18" s="71"/>
      <c r="S18" s="70">
        <f t="shared" ref="S18" si="23">IF(P18&gt;20001,200,IF(P18&gt;15001,150,IF(P18&lt;15000,0,)))</f>
        <v>200</v>
      </c>
      <c r="T18" s="70">
        <f t="shared" ref="T18" si="24">IF(P18,IF(1,75),IF(1,0))</f>
        <v>75</v>
      </c>
      <c r="U18" s="70"/>
      <c r="V18" s="70"/>
      <c r="W18" s="70"/>
      <c r="X18" s="70">
        <f t="shared" ref="X18" si="25">SUM(Q18:W18)</f>
        <v>3875</v>
      </c>
      <c r="Y18" s="70">
        <f t="shared" ref="Y18" si="26">P18-X18</f>
        <v>98623</v>
      </c>
      <c r="Z18" s="172" t="s">
        <v>72</v>
      </c>
      <c r="AA18" s="67" t="s">
        <v>45</v>
      </c>
    </row>
    <row r="19" ht="22.35" customHeight="1" spans="1:27">
      <c r="A19" s="68">
        <v>13</v>
      </c>
      <c r="B19" s="69" t="s">
        <v>73</v>
      </c>
      <c r="C19" s="70" t="s">
        <v>74</v>
      </c>
      <c r="D19" s="71">
        <v>81052</v>
      </c>
      <c r="E19" s="71"/>
      <c r="F19" s="71">
        <f t="shared" si="5"/>
        <v>52868</v>
      </c>
      <c r="G19" s="71"/>
      <c r="H19" s="71">
        <f t="shared" ref="H19:H23" si="27">G19+F19</f>
        <v>52868</v>
      </c>
      <c r="I19" s="72">
        <v>31</v>
      </c>
      <c r="J19" s="71">
        <f t="shared" si="12"/>
        <v>52868</v>
      </c>
      <c r="K19" s="71">
        <f t="shared" si="13"/>
        <v>19725</v>
      </c>
      <c r="L19" s="71">
        <f t="shared" si="14"/>
        <v>8459</v>
      </c>
      <c r="M19" s="71"/>
      <c r="N19" s="71"/>
      <c r="O19" s="71"/>
      <c r="P19" s="70">
        <f t="shared" si="15"/>
        <v>81052</v>
      </c>
      <c r="Q19" s="71">
        <v>3600</v>
      </c>
      <c r="R19" s="71"/>
      <c r="S19" s="70">
        <f t="shared" ref="S19:S26" si="28">IF(P19&gt;20001,200,IF(P19&gt;15001,150,IF(P19&lt;15000,0,)))</f>
        <v>200</v>
      </c>
      <c r="T19" s="70">
        <f t="shared" ref="T19:T26" si="29">IF(P19,IF(1,75),IF(1,0))</f>
        <v>75</v>
      </c>
      <c r="U19" s="70"/>
      <c r="V19" s="70"/>
      <c r="W19" s="70">
        <v>1584</v>
      </c>
      <c r="X19" s="70">
        <f t="shared" ref="X19:X26" si="30">SUM(Q19:W19)</f>
        <v>5459</v>
      </c>
      <c r="Y19" s="70">
        <f t="shared" ref="Y19:Y26" si="31">P19-X19</f>
        <v>75593</v>
      </c>
      <c r="Z19" s="172" t="s">
        <v>75</v>
      </c>
      <c r="AA19" s="67" t="s">
        <v>45</v>
      </c>
    </row>
    <row r="20" ht="22.35" customHeight="1" spans="1:27">
      <c r="A20" s="68">
        <v>14</v>
      </c>
      <c r="B20" s="69" t="s">
        <v>76</v>
      </c>
      <c r="C20" s="70" t="s">
        <v>74</v>
      </c>
      <c r="D20" s="71">
        <v>68194</v>
      </c>
      <c r="E20" s="71"/>
      <c r="F20" s="71">
        <f t="shared" si="5"/>
        <v>44481</v>
      </c>
      <c r="G20" s="71"/>
      <c r="H20" s="71">
        <f t="shared" si="27"/>
        <v>44481</v>
      </c>
      <c r="I20" s="72">
        <v>31</v>
      </c>
      <c r="J20" s="71">
        <f t="shared" si="12"/>
        <v>44481</v>
      </c>
      <c r="K20" s="71">
        <f t="shared" si="13"/>
        <v>16596</v>
      </c>
      <c r="L20" s="71">
        <f t="shared" si="14"/>
        <v>7117</v>
      </c>
      <c r="M20" s="71"/>
      <c r="N20" s="71"/>
      <c r="O20" s="71"/>
      <c r="P20" s="70">
        <f t="shared" si="15"/>
        <v>68194</v>
      </c>
      <c r="Q20" s="71"/>
      <c r="R20" s="71"/>
      <c r="S20" s="70">
        <f t="shared" si="28"/>
        <v>200</v>
      </c>
      <c r="T20" s="70">
        <f t="shared" si="29"/>
        <v>75</v>
      </c>
      <c r="U20" s="70"/>
      <c r="V20" s="70"/>
      <c r="W20" s="70"/>
      <c r="X20" s="70">
        <f t="shared" si="30"/>
        <v>275</v>
      </c>
      <c r="Y20" s="70">
        <f t="shared" si="31"/>
        <v>67919</v>
      </c>
      <c r="Z20" s="172" t="s">
        <v>77</v>
      </c>
      <c r="AA20" s="67" t="s">
        <v>45</v>
      </c>
    </row>
    <row r="21" ht="22.35" customHeight="1" spans="1:27">
      <c r="A21" s="68">
        <v>15</v>
      </c>
      <c r="B21" s="69" t="s">
        <v>78</v>
      </c>
      <c r="C21" s="70" t="s">
        <v>74</v>
      </c>
      <c r="D21" s="71">
        <v>65192</v>
      </c>
      <c r="E21" s="71"/>
      <c r="F21" s="71">
        <f t="shared" si="5"/>
        <v>42523</v>
      </c>
      <c r="G21" s="71"/>
      <c r="H21" s="71">
        <f t="shared" ref="H21" si="32">G21+F21</f>
        <v>42523</v>
      </c>
      <c r="I21" s="72">
        <v>31</v>
      </c>
      <c r="J21" s="71">
        <f t="shared" si="12"/>
        <v>42523</v>
      </c>
      <c r="K21" s="71">
        <f t="shared" si="13"/>
        <v>15865</v>
      </c>
      <c r="L21" s="71">
        <f t="shared" si="14"/>
        <v>6804</v>
      </c>
      <c r="M21" s="71"/>
      <c r="N21" s="71"/>
      <c r="O21" s="71"/>
      <c r="P21" s="70">
        <f t="shared" si="15"/>
        <v>65192</v>
      </c>
      <c r="Q21" s="71"/>
      <c r="R21" s="71"/>
      <c r="S21" s="70">
        <f t="shared" ref="S21:S22" si="33">IF(P21&gt;20001,200,IF(P21&gt;15001,150,IF(P21&lt;15000,0,)))</f>
        <v>200</v>
      </c>
      <c r="T21" s="70">
        <f t="shared" ref="T21:T22" si="34">IF(P21,IF(1,75),IF(1,0))</f>
        <v>75</v>
      </c>
      <c r="U21" s="70"/>
      <c r="V21" s="70"/>
      <c r="W21" s="70">
        <v>2275</v>
      </c>
      <c r="X21" s="70">
        <f t="shared" si="30"/>
        <v>2550</v>
      </c>
      <c r="Y21" s="70">
        <f t="shared" si="31"/>
        <v>62642</v>
      </c>
      <c r="Z21" s="172" t="s">
        <v>79</v>
      </c>
      <c r="AA21" s="67" t="s">
        <v>80</v>
      </c>
    </row>
    <row r="22" ht="22.35" customHeight="1" spans="1:27">
      <c r="A22" s="68">
        <v>16</v>
      </c>
      <c r="B22" s="69" t="s">
        <v>81</v>
      </c>
      <c r="C22" s="70" t="s">
        <v>82</v>
      </c>
      <c r="D22" s="71">
        <v>50017</v>
      </c>
      <c r="E22" s="71"/>
      <c r="F22" s="71">
        <f t="shared" si="5"/>
        <v>32625</v>
      </c>
      <c r="G22" s="71"/>
      <c r="H22" s="71">
        <f t="shared" ref="H22" si="35">G22+F22</f>
        <v>32625</v>
      </c>
      <c r="I22" s="72">
        <v>31</v>
      </c>
      <c r="J22" s="71">
        <f t="shared" si="12"/>
        <v>32625</v>
      </c>
      <c r="K22" s="71">
        <f t="shared" si="13"/>
        <v>12172</v>
      </c>
      <c r="L22" s="71">
        <f t="shared" si="14"/>
        <v>5220</v>
      </c>
      <c r="M22" s="71"/>
      <c r="N22" s="71"/>
      <c r="O22" s="71"/>
      <c r="P22" s="70">
        <f t="shared" si="15"/>
        <v>50017</v>
      </c>
      <c r="Q22" s="71"/>
      <c r="R22" s="71"/>
      <c r="S22" s="70">
        <f t="shared" si="33"/>
        <v>200</v>
      </c>
      <c r="T22" s="70">
        <f t="shared" si="34"/>
        <v>75</v>
      </c>
      <c r="U22" s="70"/>
      <c r="V22" s="70"/>
      <c r="W22" s="70"/>
      <c r="X22" s="70">
        <f t="shared" si="30"/>
        <v>275</v>
      </c>
      <c r="Y22" s="70">
        <f t="shared" si="31"/>
        <v>49742</v>
      </c>
      <c r="Z22" s="172" t="s">
        <v>83</v>
      </c>
      <c r="AA22" s="67" t="s">
        <v>84</v>
      </c>
    </row>
    <row r="23" ht="22.35" customHeight="1" spans="1:27">
      <c r="A23" s="68">
        <v>17</v>
      </c>
      <c r="B23" s="69" t="s">
        <v>85</v>
      </c>
      <c r="C23" s="70" t="s">
        <v>61</v>
      </c>
      <c r="D23" s="71">
        <v>36039</v>
      </c>
      <c r="E23" s="71"/>
      <c r="F23" s="71">
        <f t="shared" si="5"/>
        <v>23507</v>
      </c>
      <c r="G23" s="71"/>
      <c r="H23" s="71">
        <f t="shared" si="27"/>
        <v>23507</v>
      </c>
      <c r="I23" s="72">
        <v>31</v>
      </c>
      <c r="J23" s="71">
        <f t="shared" si="12"/>
        <v>23507</v>
      </c>
      <c r="K23" s="71">
        <f t="shared" si="13"/>
        <v>8770</v>
      </c>
      <c r="L23" s="71">
        <f t="shared" si="14"/>
        <v>3761</v>
      </c>
      <c r="M23" s="71"/>
      <c r="N23" s="71"/>
      <c r="O23" s="71"/>
      <c r="P23" s="70">
        <f t="shared" si="15"/>
        <v>36038</v>
      </c>
      <c r="Q23" s="71"/>
      <c r="R23" s="71"/>
      <c r="S23" s="70">
        <f t="shared" si="28"/>
        <v>200</v>
      </c>
      <c r="T23" s="70">
        <f t="shared" si="29"/>
        <v>75</v>
      </c>
      <c r="U23" s="70"/>
      <c r="V23" s="70"/>
      <c r="W23" s="70"/>
      <c r="X23" s="70">
        <f t="shared" si="30"/>
        <v>275</v>
      </c>
      <c r="Y23" s="70">
        <f t="shared" si="31"/>
        <v>35763</v>
      </c>
      <c r="Z23" s="172" t="s">
        <v>86</v>
      </c>
      <c r="AA23" s="67" t="s">
        <v>45</v>
      </c>
    </row>
    <row r="24" ht="22.35" customHeight="1" spans="1:27">
      <c r="A24" s="68">
        <v>18</v>
      </c>
      <c r="B24" s="69" t="s">
        <v>87</v>
      </c>
      <c r="C24" s="70" t="s">
        <v>82</v>
      </c>
      <c r="D24" s="71">
        <v>25000</v>
      </c>
      <c r="E24" s="71">
        <v>25000</v>
      </c>
      <c r="F24" s="71">
        <f t="shared" si="5"/>
        <v>16307</v>
      </c>
      <c r="G24" s="71"/>
      <c r="H24" s="71"/>
      <c r="I24" s="72">
        <v>31</v>
      </c>
      <c r="J24" s="71">
        <f t="shared" si="12"/>
        <v>16307</v>
      </c>
      <c r="K24" s="71">
        <f t="shared" si="13"/>
        <v>6084</v>
      </c>
      <c r="L24" s="71">
        <f t="shared" si="14"/>
        <v>2609</v>
      </c>
      <c r="M24" s="71"/>
      <c r="N24" s="71"/>
      <c r="O24" s="71"/>
      <c r="P24" s="70">
        <f t="shared" si="15"/>
        <v>25000</v>
      </c>
      <c r="Q24" s="71"/>
      <c r="R24" s="71"/>
      <c r="S24" s="70">
        <f t="shared" ref="S24" si="36">IF(P24&gt;20001,200,IF(P24&gt;15001,150,IF(P24&lt;15000,0,)))</f>
        <v>200</v>
      </c>
      <c r="T24" s="70">
        <f t="shared" ref="T24" si="37">IF(P24,IF(1,75),IF(1,0))</f>
        <v>75</v>
      </c>
      <c r="U24" s="70"/>
      <c r="V24" s="70"/>
      <c r="W24" s="70"/>
      <c r="X24" s="70">
        <f t="shared" si="30"/>
        <v>275</v>
      </c>
      <c r="Y24" s="70">
        <f t="shared" si="31"/>
        <v>24725</v>
      </c>
      <c r="Z24" s="172" t="s">
        <v>88</v>
      </c>
      <c r="AA24" s="67" t="s">
        <v>89</v>
      </c>
    </row>
    <row r="25" ht="22.35" customHeight="1" spans="1:27">
      <c r="A25" s="68">
        <v>19</v>
      </c>
      <c r="B25" s="69" t="s">
        <v>90</v>
      </c>
      <c r="C25" s="70" t="s">
        <v>61</v>
      </c>
      <c r="D25" s="71">
        <v>29000</v>
      </c>
      <c r="E25" s="71">
        <v>29000</v>
      </c>
      <c r="F25" s="71">
        <f t="shared" si="5"/>
        <v>18916</v>
      </c>
      <c r="G25" s="71"/>
      <c r="H25" s="71"/>
      <c r="I25" s="72">
        <v>31</v>
      </c>
      <c r="J25" s="71">
        <f t="shared" si="12"/>
        <v>18916</v>
      </c>
      <c r="K25" s="71">
        <f t="shared" si="13"/>
        <v>7058</v>
      </c>
      <c r="L25" s="71">
        <f t="shared" si="14"/>
        <v>3027</v>
      </c>
      <c r="M25" s="71"/>
      <c r="N25" s="71"/>
      <c r="O25" s="71"/>
      <c r="P25" s="70">
        <f t="shared" si="15"/>
        <v>29001</v>
      </c>
      <c r="Q25" s="71"/>
      <c r="R25" s="71"/>
      <c r="S25" s="70">
        <f t="shared" si="28"/>
        <v>200</v>
      </c>
      <c r="T25" s="70">
        <f t="shared" si="29"/>
        <v>75</v>
      </c>
      <c r="U25" s="70">
        <v>182</v>
      </c>
      <c r="V25" s="70"/>
      <c r="W25" s="70"/>
      <c r="X25" s="70">
        <f t="shared" si="30"/>
        <v>457</v>
      </c>
      <c r="Y25" s="70">
        <f t="shared" si="31"/>
        <v>28544</v>
      </c>
      <c r="Z25" s="172" t="s">
        <v>91</v>
      </c>
      <c r="AA25" s="67" t="s">
        <v>92</v>
      </c>
    </row>
    <row r="26" ht="22.35" customHeight="1" spans="1:27">
      <c r="A26" s="68">
        <v>20</v>
      </c>
      <c r="B26" s="69" t="s">
        <v>93</v>
      </c>
      <c r="C26" s="70" t="s">
        <v>82</v>
      </c>
      <c r="D26" s="71">
        <v>19000</v>
      </c>
      <c r="E26" s="71">
        <v>19000</v>
      </c>
      <c r="F26" s="71">
        <f t="shared" si="5"/>
        <v>12393</v>
      </c>
      <c r="G26" s="71"/>
      <c r="H26" s="71"/>
      <c r="I26" s="72">
        <v>31</v>
      </c>
      <c r="J26" s="71">
        <f t="shared" si="12"/>
        <v>12393</v>
      </c>
      <c r="K26" s="71">
        <f t="shared" si="13"/>
        <v>4624</v>
      </c>
      <c r="L26" s="71">
        <f t="shared" si="14"/>
        <v>1983</v>
      </c>
      <c r="M26" s="71"/>
      <c r="N26" s="71"/>
      <c r="O26" s="71"/>
      <c r="P26" s="70">
        <f t="shared" si="15"/>
        <v>19000</v>
      </c>
      <c r="Q26" s="71"/>
      <c r="R26" s="71"/>
      <c r="S26" s="70">
        <f t="shared" si="28"/>
        <v>150</v>
      </c>
      <c r="T26" s="70">
        <f t="shared" si="29"/>
        <v>75</v>
      </c>
      <c r="U26" s="70"/>
      <c r="V26" s="70"/>
      <c r="W26" s="70"/>
      <c r="X26" s="70">
        <f t="shared" si="30"/>
        <v>225</v>
      </c>
      <c r="Y26" s="70">
        <f t="shared" si="31"/>
        <v>18775</v>
      </c>
      <c r="Z26" s="172" t="s">
        <v>94</v>
      </c>
      <c r="AA26" s="67" t="s">
        <v>33</v>
      </c>
    </row>
    <row r="27" ht="22.35" customHeight="1" spans="1:27">
      <c r="A27" s="68">
        <v>21</v>
      </c>
      <c r="B27" s="69" t="s">
        <v>95</v>
      </c>
      <c r="C27" s="70" t="s">
        <v>82</v>
      </c>
      <c r="D27" s="71">
        <v>45000</v>
      </c>
      <c r="E27" s="71"/>
      <c r="F27" s="71">
        <f t="shared" ref="F27" si="38">ROUND(D27/1.5331,0)</f>
        <v>29352</v>
      </c>
      <c r="G27" s="71"/>
      <c r="H27" s="71">
        <f>F27+G27</f>
        <v>29352</v>
      </c>
      <c r="I27" s="72">
        <v>31</v>
      </c>
      <c r="J27" s="71">
        <f t="shared" ref="J27" si="39">F27/I$4*I27</f>
        <v>29352</v>
      </c>
      <c r="K27" s="71">
        <f t="shared" ref="K27" si="40">ROUND(J27*37.31%,0)</f>
        <v>10951</v>
      </c>
      <c r="L27" s="71">
        <f t="shared" ref="L27" si="41">ROUND(J27*16%,0)</f>
        <v>4696</v>
      </c>
      <c r="M27" s="71"/>
      <c r="N27" s="71"/>
      <c r="O27" s="71"/>
      <c r="P27" s="70">
        <f t="shared" ref="P27" si="42">ROUNDUP(J27+K27+L27+M27+N27+O27,0)</f>
        <v>44999</v>
      </c>
      <c r="Q27" s="71"/>
      <c r="R27" s="71"/>
      <c r="S27" s="70">
        <f t="shared" ref="S27" si="43">IF(P27&gt;20001,200,IF(P27&gt;15001,150,IF(P27&lt;15000,0,)))</f>
        <v>200</v>
      </c>
      <c r="T27" s="70">
        <f t="shared" ref="T27" si="44">IF(P27,IF(1,75),IF(1,0))</f>
        <v>75</v>
      </c>
      <c r="U27" s="70"/>
      <c r="V27" s="70"/>
      <c r="W27" s="70"/>
      <c r="X27" s="70">
        <f t="shared" ref="X27" si="45">SUM(Q27:W27)</f>
        <v>275</v>
      </c>
      <c r="Y27" s="70">
        <f t="shared" ref="Y27" si="46">P27-X27</f>
        <v>44724</v>
      </c>
      <c r="Z27" s="172" t="s">
        <v>96</v>
      </c>
      <c r="AA27" s="67" t="s">
        <v>97</v>
      </c>
    </row>
    <row r="28" ht="14.5" spans="1:27">
      <c r="A28" s="68"/>
      <c r="B28" s="84" t="s">
        <v>98</v>
      </c>
      <c r="C28" s="70"/>
      <c r="D28" s="71"/>
      <c r="E28" s="71"/>
      <c r="F28" s="71">
        <f t="shared" si="5"/>
        <v>0</v>
      </c>
      <c r="G28" s="71"/>
      <c r="H28" s="71"/>
      <c r="I28" s="72"/>
      <c r="J28" s="71">
        <f t="shared" si="12"/>
        <v>0</v>
      </c>
      <c r="K28" s="71">
        <f t="shared" si="13"/>
        <v>0</v>
      </c>
      <c r="L28" s="71">
        <f t="shared" si="14"/>
        <v>0</v>
      </c>
      <c r="M28" s="71"/>
      <c r="N28" s="71"/>
      <c r="O28" s="71"/>
      <c r="P28" s="70">
        <f t="shared" si="15"/>
        <v>0</v>
      </c>
      <c r="Q28" s="71"/>
      <c r="R28" s="71"/>
      <c r="S28" s="70"/>
      <c r="T28" s="70"/>
      <c r="U28" s="70"/>
      <c r="V28" s="70"/>
      <c r="W28" s="70"/>
      <c r="X28" s="70"/>
      <c r="Y28" s="70"/>
      <c r="Z28" s="75"/>
      <c r="AA28" s="67"/>
    </row>
    <row r="29" ht="22.35" customHeight="1" spans="1:27">
      <c r="A29" s="68">
        <v>22</v>
      </c>
      <c r="B29" s="85" t="s">
        <v>99</v>
      </c>
      <c r="C29" s="86" t="s">
        <v>43</v>
      </c>
      <c r="D29" s="87">
        <v>67242</v>
      </c>
      <c r="E29" s="87"/>
      <c r="F29" s="71">
        <f t="shared" si="5"/>
        <v>43860</v>
      </c>
      <c r="G29" s="87"/>
      <c r="H29" s="87">
        <f>G29+F29</f>
        <v>43860</v>
      </c>
      <c r="I29" s="72">
        <v>31</v>
      </c>
      <c r="J29" s="71">
        <f t="shared" si="12"/>
        <v>43860</v>
      </c>
      <c r="K29" s="71">
        <f t="shared" si="13"/>
        <v>16364</v>
      </c>
      <c r="L29" s="71">
        <f t="shared" si="14"/>
        <v>7018</v>
      </c>
      <c r="M29" s="71"/>
      <c r="N29" s="71"/>
      <c r="O29" s="71"/>
      <c r="P29" s="70">
        <f t="shared" si="15"/>
        <v>67242</v>
      </c>
      <c r="Q29" s="87"/>
      <c r="R29" s="87"/>
      <c r="S29" s="86">
        <f>IF(P29&gt;20001,200,IF(P29&gt;15001,150,IF(P29&lt;15000,0,)))</f>
        <v>200</v>
      </c>
      <c r="T29" s="86">
        <f>IF(P29,IF(1,75),IF(1,0))</f>
        <v>75</v>
      </c>
      <c r="U29" s="86"/>
      <c r="V29" s="86"/>
      <c r="W29" s="86"/>
      <c r="X29" s="86">
        <f t="shared" ref="X29:X42" si="47">SUM(Q29:W29)</f>
        <v>275</v>
      </c>
      <c r="Y29" s="86">
        <f t="shared" ref="Y29:Y42" si="48">P29-X29</f>
        <v>66967</v>
      </c>
      <c r="Z29" s="174" t="s">
        <v>100</v>
      </c>
      <c r="AA29" s="89" t="s">
        <v>45</v>
      </c>
    </row>
    <row r="30" ht="22.35" customHeight="1" spans="1:27">
      <c r="A30" s="68">
        <v>23</v>
      </c>
      <c r="B30" s="85" t="s">
        <v>101</v>
      </c>
      <c r="C30" s="86" t="s">
        <v>102</v>
      </c>
      <c r="D30" s="87">
        <v>96442</v>
      </c>
      <c r="E30" s="87"/>
      <c r="F30" s="71">
        <f t="shared" si="5"/>
        <v>62907</v>
      </c>
      <c r="G30" s="87"/>
      <c r="H30" s="87">
        <f t="shared" ref="H30:H32" si="49">G30+F30</f>
        <v>62907</v>
      </c>
      <c r="I30" s="72">
        <v>31</v>
      </c>
      <c r="J30" s="71">
        <f t="shared" si="12"/>
        <v>62907</v>
      </c>
      <c r="K30" s="71">
        <f t="shared" si="13"/>
        <v>23471</v>
      </c>
      <c r="L30" s="71">
        <f t="shared" si="14"/>
        <v>10065</v>
      </c>
      <c r="M30" s="71"/>
      <c r="N30" s="71"/>
      <c r="O30" s="71"/>
      <c r="P30" s="70">
        <f t="shared" si="15"/>
        <v>96443</v>
      </c>
      <c r="Q30" s="87"/>
      <c r="R30" s="87"/>
      <c r="S30" s="86">
        <f t="shared" ref="S30:S32" si="50">IF(P30&gt;20001,200,IF(P30&gt;15001,150,IF(P30&lt;15000,0,)))</f>
        <v>200</v>
      </c>
      <c r="T30" s="86">
        <f t="shared" ref="T30:T32" si="51">IF(P30,IF(1,75),IF(1,0))</f>
        <v>75</v>
      </c>
      <c r="U30" s="86"/>
      <c r="V30" s="86"/>
      <c r="W30" s="86"/>
      <c r="X30" s="86">
        <f t="shared" si="47"/>
        <v>275</v>
      </c>
      <c r="Y30" s="86">
        <f t="shared" si="48"/>
        <v>96168</v>
      </c>
      <c r="Z30" s="174" t="s">
        <v>103</v>
      </c>
      <c r="AA30" s="90" t="s">
        <v>45</v>
      </c>
    </row>
    <row r="31" ht="22.35" customHeight="1" spans="1:27">
      <c r="A31" s="68">
        <v>24</v>
      </c>
      <c r="B31" s="69" t="s">
        <v>104</v>
      </c>
      <c r="C31" s="70" t="s">
        <v>102</v>
      </c>
      <c r="D31" s="71">
        <v>55005</v>
      </c>
      <c r="E31" s="71"/>
      <c r="F31" s="71">
        <f t="shared" si="5"/>
        <v>35878</v>
      </c>
      <c r="G31" s="71"/>
      <c r="H31" s="71">
        <f t="shared" si="49"/>
        <v>35878</v>
      </c>
      <c r="I31" s="72">
        <v>31</v>
      </c>
      <c r="J31" s="71">
        <f t="shared" si="12"/>
        <v>35878</v>
      </c>
      <c r="K31" s="71">
        <f t="shared" si="13"/>
        <v>13386</v>
      </c>
      <c r="L31" s="71">
        <f t="shared" si="14"/>
        <v>5740</v>
      </c>
      <c r="M31" s="71"/>
      <c r="N31" s="71"/>
      <c r="O31" s="71"/>
      <c r="P31" s="70">
        <f t="shared" si="15"/>
        <v>55004</v>
      </c>
      <c r="Q31" s="71"/>
      <c r="R31" s="71"/>
      <c r="S31" s="70">
        <f t="shared" si="50"/>
        <v>200</v>
      </c>
      <c r="T31" s="70">
        <f t="shared" si="51"/>
        <v>75</v>
      </c>
      <c r="U31" s="70"/>
      <c r="V31" s="70"/>
      <c r="W31" s="70"/>
      <c r="X31" s="70">
        <f t="shared" si="47"/>
        <v>275</v>
      </c>
      <c r="Y31" s="70">
        <f t="shared" si="48"/>
        <v>54729</v>
      </c>
      <c r="Z31" s="175" t="s">
        <v>105</v>
      </c>
      <c r="AA31" s="92" t="s">
        <v>45</v>
      </c>
    </row>
    <row r="32" ht="22.35" customHeight="1" spans="1:27">
      <c r="A32" s="68">
        <v>25</v>
      </c>
      <c r="B32" s="85" t="s">
        <v>106</v>
      </c>
      <c r="C32" s="86" t="s">
        <v>102</v>
      </c>
      <c r="D32" s="87">
        <v>52020</v>
      </c>
      <c r="E32" s="87"/>
      <c r="F32" s="71">
        <f t="shared" si="5"/>
        <v>33931</v>
      </c>
      <c r="G32" s="87"/>
      <c r="H32" s="87">
        <f t="shared" si="49"/>
        <v>33931</v>
      </c>
      <c r="I32" s="72">
        <v>31</v>
      </c>
      <c r="J32" s="71">
        <f t="shared" si="12"/>
        <v>33931</v>
      </c>
      <c r="K32" s="71">
        <f t="shared" si="13"/>
        <v>12660</v>
      </c>
      <c r="L32" s="71">
        <f t="shared" si="14"/>
        <v>5429</v>
      </c>
      <c r="M32" s="71"/>
      <c r="N32" s="71"/>
      <c r="O32" s="71"/>
      <c r="P32" s="70">
        <f t="shared" si="15"/>
        <v>52020</v>
      </c>
      <c r="Q32" s="87"/>
      <c r="R32" s="87"/>
      <c r="S32" s="86">
        <f t="shared" si="50"/>
        <v>200</v>
      </c>
      <c r="T32" s="86">
        <f t="shared" si="51"/>
        <v>75</v>
      </c>
      <c r="U32" s="86"/>
      <c r="V32" s="86"/>
      <c r="W32" s="86"/>
      <c r="X32" s="86">
        <f t="shared" si="47"/>
        <v>275</v>
      </c>
      <c r="Y32" s="86">
        <f t="shared" si="48"/>
        <v>51745</v>
      </c>
      <c r="Z32" s="174" t="s">
        <v>107</v>
      </c>
      <c r="AA32" s="89" t="s">
        <v>45</v>
      </c>
    </row>
    <row r="33" ht="22.35" customHeight="1" spans="1:27">
      <c r="A33" s="68">
        <v>26</v>
      </c>
      <c r="B33" s="85" t="s">
        <v>108</v>
      </c>
      <c r="C33" s="86" t="s">
        <v>74</v>
      </c>
      <c r="D33" s="87">
        <v>81127</v>
      </c>
      <c r="E33" s="87"/>
      <c r="F33" s="71">
        <f t="shared" si="5"/>
        <v>52917</v>
      </c>
      <c r="G33" s="87"/>
      <c r="H33" s="87">
        <f t="shared" ref="H33:H40" si="52">G33+F33</f>
        <v>52917</v>
      </c>
      <c r="I33" s="72">
        <v>31</v>
      </c>
      <c r="J33" s="71">
        <f t="shared" si="12"/>
        <v>52917</v>
      </c>
      <c r="K33" s="71">
        <f t="shared" si="13"/>
        <v>19743</v>
      </c>
      <c r="L33" s="71">
        <f t="shared" si="14"/>
        <v>8467</v>
      </c>
      <c r="M33" s="71"/>
      <c r="N33" s="71"/>
      <c r="O33" s="71"/>
      <c r="P33" s="70">
        <f t="shared" si="15"/>
        <v>81127</v>
      </c>
      <c r="Q33" s="90"/>
      <c r="R33" s="87"/>
      <c r="S33" s="86">
        <f t="shared" ref="S33:S42" si="53">IF(P33&gt;20001,200,IF(P33&gt;15001,150,IF(P33&lt;15000,0,)))</f>
        <v>200</v>
      </c>
      <c r="T33" s="86">
        <f t="shared" ref="T33:T42" si="54">IF(P33,IF(1,75),IF(1,0))</f>
        <v>75</v>
      </c>
      <c r="U33" s="86"/>
      <c r="V33" s="86"/>
      <c r="W33" s="86">
        <v>958</v>
      </c>
      <c r="X33" s="86">
        <f t="shared" si="47"/>
        <v>1233</v>
      </c>
      <c r="Y33" s="86">
        <f t="shared" si="48"/>
        <v>79894</v>
      </c>
      <c r="Z33" s="174" t="s">
        <v>109</v>
      </c>
      <c r="AA33" s="90" t="s">
        <v>45</v>
      </c>
    </row>
    <row r="34" ht="22.35" customHeight="1" spans="1:27">
      <c r="A34" s="68">
        <v>27</v>
      </c>
      <c r="B34" s="85" t="s">
        <v>110</v>
      </c>
      <c r="C34" s="86" t="s">
        <v>61</v>
      </c>
      <c r="D34" s="87">
        <v>61172</v>
      </c>
      <c r="E34" s="87"/>
      <c r="F34" s="71">
        <f t="shared" si="5"/>
        <v>39901</v>
      </c>
      <c r="G34" s="87"/>
      <c r="H34" s="87">
        <f t="shared" si="52"/>
        <v>39901</v>
      </c>
      <c r="I34" s="72">
        <v>31</v>
      </c>
      <c r="J34" s="71">
        <f t="shared" si="12"/>
        <v>39901</v>
      </c>
      <c r="K34" s="71">
        <f t="shared" si="13"/>
        <v>14887</v>
      </c>
      <c r="L34" s="71">
        <f t="shared" si="14"/>
        <v>6384</v>
      </c>
      <c r="M34" s="71"/>
      <c r="N34" s="71"/>
      <c r="O34" s="71"/>
      <c r="P34" s="70">
        <f t="shared" si="15"/>
        <v>61172</v>
      </c>
      <c r="Q34" s="87"/>
      <c r="R34" s="87"/>
      <c r="S34" s="86">
        <f t="shared" si="53"/>
        <v>200</v>
      </c>
      <c r="T34" s="86">
        <f t="shared" si="54"/>
        <v>75</v>
      </c>
      <c r="U34" s="86"/>
      <c r="V34" s="86"/>
      <c r="W34" s="86"/>
      <c r="X34" s="86">
        <f t="shared" si="47"/>
        <v>275</v>
      </c>
      <c r="Y34" s="86">
        <f t="shared" si="48"/>
        <v>60897</v>
      </c>
      <c r="Z34" s="174" t="s">
        <v>111</v>
      </c>
      <c r="AA34" s="90" t="s">
        <v>45</v>
      </c>
    </row>
    <row r="35" ht="22.35" customHeight="1" spans="1:27">
      <c r="A35" s="68">
        <v>28</v>
      </c>
      <c r="B35" s="69" t="s">
        <v>112</v>
      </c>
      <c r="C35" s="70" t="s">
        <v>74</v>
      </c>
      <c r="D35" s="71">
        <v>60773</v>
      </c>
      <c r="E35" s="71"/>
      <c r="F35" s="71">
        <f t="shared" si="5"/>
        <v>39641</v>
      </c>
      <c r="G35" s="71"/>
      <c r="H35" s="71">
        <f t="shared" si="52"/>
        <v>39641</v>
      </c>
      <c r="I35" s="72">
        <v>30</v>
      </c>
      <c r="J35" s="71">
        <f t="shared" si="12"/>
        <v>38362.2580645161</v>
      </c>
      <c r="K35" s="71">
        <f t="shared" si="13"/>
        <v>14313</v>
      </c>
      <c r="L35" s="71">
        <f t="shared" si="14"/>
        <v>6138</v>
      </c>
      <c r="M35" s="71"/>
      <c r="N35" s="71"/>
      <c r="O35" s="71"/>
      <c r="P35" s="70">
        <f t="shared" si="15"/>
        <v>58814</v>
      </c>
      <c r="Q35" s="71"/>
      <c r="R35" s="71"/>
      <c r="S35" s="70">
        <f t="shared" si="53"/>
        <v>200</v>
      </c>
      <c r="T35" s="70">
        <f t="shared" si="54"/>
        <v>75</v>
      </c>
      <c r="U35" s="70"/>
      <c r="V35" s="70"/>
      <c r="W35" s="70"/>
      <c r="X35" s="70">
        <f t="shared" si="47"/>
        <v>275</v>
      </c>
      <c r="Y35" s="70">
        <f t="shared" si="48"/>
        <v>58539</v>
      </c>
      <c r="Z35" s="172" t="s">
        <v>113</v>
      </c>
      <c r="AA35" s="67" t="s">
        <v>33</v>
      </c>
    </row>
    <row r="36" ht="22.35" customHeight="1" spans="1:27">
      <c r="A36" s="68">
        <v>29</v>
      </c>
      <c r="B36" s="69" t="s">
        <v>114</v>
      </c>
      <c r="C36" s="70" t="s">
        <v>74</v>
      </c>
      <c r="D36" s="71">
        <v>43016</v>
      </c>
      <c r="E36" s="71"/>
      <c r="F36" s="71">
        <f t="shared" si="5"/>
        <v>28058</v>
      </c>
      <c r="G36" s="71"/>
      <c r="H36" s="71">
        <f t="shared" si="52"/>
        <v>28058</v>
      </c>
      <c r="I36" s="72">
        <v>31</v>
      </c>
      <c r="J36" s="71">
        <f t="shared" si="12"/>
        <v>28058</v>
      </c>
      <c r="K36" s="71">
        <f t="shared" si="13"/>
        <v>10468</v>
      </c>
      <c r="L36" s="71">
        <f t="shared" si="14"/>
        <v>4489</v>
      </c>
      <c r="M36" s="71"/>
      <c r="N36" s="71"/>
      <c r="O36" s="71"/>
      <c r="P36" s="70">
        <f t="shared" si="15"/>
        <v>43015</v>
      </c>
      <c r="Q36" s="71"/>
      <c r="R36" s="71"/>
      <c r="S36" s="70">
        <f t="shared" si="53"/>
        <v>200</v>
      </c>
      <c r="T36" s="70">
        <f t="shared" si="54"/>
        <v>75</v>
      </c>
      <c r="U36" s="70"/>
      <c r="V36" s="70"/>
      <c r="W36" s="70"/>
      <c r="X36" s="70">
        <f t="shared" si="47"/>
        <v>275</v>
      </c>
      <c r="Y36" s="70">
        <f t="shared" si="48"/>
        <v>42740</v>
      </c>
      <c r="Z36" s="172" t="s">
        <v>115</v>
      </c>
      <c r="AA36" s="67" t="s">
        <v>116</v>
      </c>
    </row>
    <row r="37" ht="22.35" customHeight="1" spans="1:27">
      <c r="A37" s="68">
        <v>30</v>
      </c>
      <c r="B37" s="85" t="s">
        <v>117</v>
      </c>
      <c r="C37" s="86" t="s">
        <v>61</v>
      </c>
      <c r="D37" s="87">
        <v>35022</v>
      </c>
      <c r="E37" s="87"/>
      <c r="F37" s="71">
        <f t="shared" si="5"/>
        <v>22844</v>
      </c>
      <c r="G37" s="87"/>
      <c r="H37" s="87">
        <f>F37+G37</f>
        <v>22844</v>
      </c>
      <c r="I37" s="93">
        <v>31</v>
      </c>
      <c r="J37" s="71">
        <f t="shared" si="12"/>
        <v>22844</v>
      </c>
      <c r="K37" s="71">
        <f t="shared" si="13"/>
        <v>8523</v>
      </c>
      <c r="L37" s="71">
        <f t="shared" si="14"/>
        <v>3655</v>
      </c>
      <c r="M37" s="71"/>
      <c r="N37" s="71"/>
      <c r="O37" s="71"/>
      <c r="P37" s="70">
        <f t="shared" si="15"/>
        <v>35022</v>
      </c>
      <c r="Q37" s="87"/>
      <c r="R37" s="87"/>
      <c r="S37" s="86">
        <f t="shared" si="53"/>
        <v>200</v>
      </c>
      <c r="T37" s="86">
        <f t="shared" si="54"/>
        <v>75</v>
      </c>
      <c r="U37" s="86"/>
      <c r="V37" s="86"/>
      <c r="W37" s="86"/>
      <c r="X37" s="86">
        <f t="shared" si="47"/>
        <v>275</v>
      </c>
      <c r="Y37" s="86">
        <f t="shared" si="48"/>
        <v>34747</v>
      </c>
      <c r="Z37" s="174" t="s">
        <v>118</v>
      </c>
      <c r="AA37" s="90" t="s">
        <v>33</v>
      </c>
    </row>
    <row r="38" ht="22.35" customHeight="1" spans="1:27">
      <c r="A38" s="68">
        <v>31</v>
      </c>
      <c r="B38" s="69" t="s">
        <v>119</v>
      </c>
      <c r="C38" s="70" t="s">
        <v>61</v>
      </c>
      <c r="D38" s="71">
        <v>42096</v>
      </c>
      <c r="E38" s="71"/>
      <c r="F38" s="71">
        <f t="shared" si="5"/>
        <v>27458</v>
      </c>
      <c r="G38" s="71"/>
      <c r="H38" s="71">
        <f t="shared" si="52"/>
        <v>27458</v>
      </c>
      <c r="I38" s="72">
        <v>31</v>
      </c>
      <c r="J38" s="71">
        <f t="shared" si="12"/>
        <v>27458</v>
      </c>
      <c r="K38" s="71">
        <f t="shared" si="13"/>
        <v>10245</v>
      </c>
      <c r="L38" s="71">
        <f t="shared" si="14"/>
        <v>4393</v>
      </c>
      <c r="M38" s="71"/>
      <c r="N38" s="71"/>
      <c r="O38" s="71"/>
      <c r="P38" s="70">
        <f t="shared" si="15"/>
        <v>42096</v>
      </c>
      <c r="Q38" s="71"/>
      <c r="R38" s="71"/>
      <c r="S38" s="70">
        <f t="shared" si="53"/>
        <v>200</v>
      </c>
      <c r="T38" s="70">
        <f t="shared" si="54"/>
        <v>75</v>
      </c>
      <c r="U38" s="70"/>
      <c r="V38" s="70"/>
      <c r="W38" s="70"/>
      <c r="X38" s="70">
        <f t="shared" si="47"/>
        <v>275</v>
      </c>
      <c r="Y38" s="70">
        <f t="shared" si="48"/>
        <v>41821</v>
      </c>
      <c r="Z38" s="172" t="s">
        <v>120</v>
      </c>
      <c r="AA38" s="67" t="s">
        <v>45</v>
      </c>
    </row>
    <row r="39" ht="22.35" customHeight="1" spans="1:27">
      <c r="A39" s="68">
        <v>32</v>
      </c>
      <c r="B39" s="69" t="s">
        <v>121</v>
      </c>
      <c r="C39" s="70" t="s">
        <v>61</v>
      </c>
      <c r="D39" s="71">
        <v>28091</v>
      </c>
      <c r="E39" s="71"/>
      <c r="F39" s="71">
        <f t="shared" si="5"/>
        <v>18323</v>
      </c>
      <c r="G39" s="71"/>
      <c r="H39" s="71">
        <f t="shared" si="52"/>
        <v>18323</v>
      </c>
      <c r="I39" s="72">
        <v>31</v>
      </c>
      <c r="J39" s="71">
        <f t="shared" si="12"/>
        <v>18323</v>
      </c>
      <c r="K39" s="71">
        <f t="shared" si="13"/>
        <v>6836</v>
      </c>
      <c r="L39" s="71">
        <f t="shared" si="14"/>
        <v>2932</v>
      </c>
      <c r="M39" s="71"/>
      <c r="N39" s="71"/>
      <c r="O39" s="71"/>
      <c r="P39" s="70">
        <f t="shared" si="15"/>
        <v>28091</v>
      </c>
      <c r="Q39" s="71"/>
      <c r="R39" s="71"/>
      <c r="S39" s="70">
        <f t="shared" si="53"/>
        <v>200</v>
      </c>
      <c r="T39" s="70">
        <f t="shared" si="54"/>
        <v>75</v>
      </c>
      <c r="U39" s="70"/>
      <c r="V39" s="70"/>
      <c r="W39" s="70">
        <v>1584</v>
      </c>
      <c r="X39" s="70">
        <f t="shared" si="47"/>
        <v>1859</v>
      </c>
      <c r="Y39" s="70">
        <f t="shared" si="48"/>
        <v>26232</v>
      </c>
      <c r="Z39" s="172" t="s">
        <v>122</v>
      </c>
      <c r="AA39" s="67" t="s">
        <v>45</v>
      </c>
    </row>
    <row r="40" ht="22.35" customHeight="1" spans="1:27">
      <c r="A40" s="68">
        <v>33</v>
      </c>
      <c r="B40" s="69" t="s">
        <v>123</v>
      </c>
      <c r="C40" s="70" t="s">
        <v>61</v>
      </c>
      <c r="D40" s="71">
        <v>34007</v>
      </c>
      <c r="E40" s="71"/>
      <c r="F40" s="71">
        <f t="shared" si="5"/>
        <v>22182</v>
      </c>
      <c r="G40" s="71"/>
      <c r="H40" s="71">
        <f t="shared" si="52"/>
        <v>22182</v>
      </c>
      <c r="I40" s="72">
        <v>31</v>
      </c>
      <c r="J40" s="71">
        <f t="shared" si="12"/>
        <v>22182</v>
      </c>
      <c r="K40" s="71">
        <f t="shared" si="13"/>
        <v>8276</v>
      </c>
      <c r="L40" s="71">
        <f t="shared" si="14"/>
        <v>3549</v>
      </c>
      <c r="M40" s="71"/>
      <c r="N40" s="71"/>
      <c r="O40" s="71"/>
      <c r="P40" s="70">
        <f t="shared" si="15"/>
        <v>34007</v>
      </c>
      <c r="Q40" s="71"/>
      <c r="R40" s="71"/>
      <c r="S40" s="70">
        <f t="shared" si="53"/>
        <v>200</v>
      </c>
      <c r="T40" s="70">
        <f t="shared" si="54"/>
        <v>75</v>
      </c>
      <c r="U40" s="70"/>
      <c r="V40" s="70"/>
      <c r="W40" s="70"/>
      <c r="X40" s="70">
        <f t="shared" si="47"/>
        <v>275</v>
      </c>
      <c r="Y40" s="70">
        <f t="shared" si="48"/>
        <v>33732</v>
      </c>
      <c r="Z40" s="172" t="s">
        <v>124</v>
      </c>
      <c r="AA40" s="67" t="s">
        <v>125</v>
      </c>
    </row>
    <row r="41" ht="22.35" customHeight="1" spans="1:27">
      <c r="A41" s="68">
        <v>34</v>
      </c>
      <c r="B41" s="69" t="s">
        <v>126</v>
      </c>
      <c r="C41" s="70" t="s">
        <v>61</v>
      </c>
      <c r="D41" s="71">
        <v>28101</v>
      </c>
      <c r="E41" s="71"/>
      <c r="F41" s="71">
        <f t="shared" si="5"/>
        <v>18330</v>
      </c>
      <c r="G41" s="71"/>
      <c r="H41" s="71">
        <f t="shared" ref="H41:H42" si="55">F41+G41</f>
        <v>18330</v>
      </c>
      <c r="I41" s="72">
        <v>31</v>
      </c>
      <c r="J41" s="71">
        <f t="shared" si="12"/>
        <v>18330</v>
      </c>
      <c r="K41" s="71">
        <f t="shared" si="13"/>
        <v>6839</v>
      </c>
      <c r="L41" s="71">
        <f t="shared" si="14"/>
        <v>2933</v>
      </c>
      <c r="M41" s="71"/>
      <c r="N41" s="71"/>
      <c r="O41" s="71"/>
      <c r="P41" s="70">
        <f t="shared" si="15"/>
        <v>28102</v>
      </c>
      <c r="Q41" s="71">
        <v>3600</v>
      </c>
      <c r="R41" s="71"/>
      <c r="S41" s="70">
        <f t="shared" si="53"/>
        <v>200</v>
      </c>
      <c r="T41" s="70">
        <f t="shared" si="54"/>
        <v>75</v>
      </c>
      <c r="U41" s="70"/>
      <c r="V41" s="70"/>
      <c r="W41" s="70">
        <v>2625</v>
      </c>
      <c r="X41" s="70">
        <f t="shared" si="47"/>
        <v>6500</v>
      </c>
      <c r="Y41" s="70">
        <f t="shared" si="48"/>
        <v>21602</v>
      </c>
      <c r="Z41" s="172" t="s">
        <v>127</v>
      </c>
      <c r="AA41" s="67" t="s">
        <v>128</v>
      </c>
    </row>
    <row r="42" ht="22.35" customHeight="1" spans="1:27">
      <c r="A42" s="68">
        <v>35</v>
      </c>
      <c r="B42" s="69" t="s">
        <v>129</v>
      </c>
      <c r="C42" s="70" t="s">
        <v>61</v>
      </c>
      <c r="D42" s="71">
        <v>47035</v>
      </c>
      <c r="E42" s="71"/>
      <c r="F42" s="71">
        <f t="shared" si="5"/>
        <v>30680</v>
      </c>
      <c r="G42" s="71"/>
      <c r="H42" s="71">
        <f t="shared" si="55"/>
        <v>30680</v>
      </c>
      <c r="I42" s="72">
        <v>31</v>
      </c>
      <c r="J42" s="71">
        <f t="shared" si="12"/>
        <v>30680</v>
      </c>
      <c r="K42" s="71">
        <f t="shared" si="13"/>
        <v>11447</v>
      </c>
      <c r="L42" s="71">
        <f t="shared" si="14"/>
        <v>4909</v>
      </c>
      <c r="M42" s="71"/>
      <c r="N42" s="71"/>
      <c r="O42" s="71"/>
      <c r="P42" s="70">
        <f t="shared" si="15"/>
        <v>47036</v>
      </c>
      <c r="Q42" s="71"/>
      <c r="R42" s="71"/>
      <c r="S42" s="70">
        <f t="shared" si="53"/>
        <v>200</v>
      </c>
      <c r="T42" s="70">
        <f t="shared" si="54"/>
        <v>75</v>
      </c>
      <c r="U42" s="70"/>
      <c r="V42" s="70"/>
      <c r="W42" s="70"/>
      <c r="X42" s="70">
        <f t="shared" si="47"/>
        <v>275</v>
      </c>
      <c r="Y42" s="70">
        <f t="shared" si="48"/>
        <v>46761</v>
      </c>
      <c r="Z42" s="172" t="s">
        <v>130</v>
      </c>
      <c r="AA42" s="67" t="s">
        <v>45</v>
      </c>
    </row>
    <row r="43" ht="14.5" spans="1:27">
      <c r="A43" s="68"/>
      <c r="B43" s="84" t="s">
        <v>131</v>
      </c>
      <c r="C43" s="70"/>
      <c r="D43" s="71"/>
      <c r="E43" s="71"/>
      <c r="F43" s="71">
        <f t="shared" si="5"/>
        <v>0</v>
      </c>
      <c r="G43" s="71"/>
      <c r="H43" s="71"/>
      <c r="I43" s="72"/>
      <c r="J43" s="71">
        <f t="shared" si="12"/>
        <v>0</v>
      </c>
      <c r="K43" s="71">
        <f t="shared" si="13"/>
        <v>0</v>
      </c>
      <c r="L43" s="71">
        <f t="shared" si="14"/>
        <v>0</v>
      </c>
      <c r="M43" s="71"/>
      <c r="N43" s="71"/>
      <c r="O43" s="71"/>
      <c r="P43" s="70">
        <f t="shared" si="15"/>
        <v>0</v>
      </c>
      <c r="Q43" s="71"/>
      <c r="R43" s="71"/>
      <c r="S43" s="70"/>
      <c r="T43" s="70"/>
      <c r="U43" s="70"/>
      <c r="V43" s="70"/>
      <c r="W43" s="70"/>
      <c r="X43" s="70"/>
      <c r="Y43" s="70"/>
      <c r="Z43" s="75"/>
      <c r="AA43" s="67"/>
    </row>
    <row r="44" ht="19.5" customHeight="1" spans="1:27">
      <c r="A44" s="68">
        <v>36</v>
      </c>
      <c r="B44" s="69" t="s">
        <v>132</v>
      </c>
      <c r="C44" s="70" t="s">
        <v>71</v>
      </c>
      <c r="D44" s="71">
        <v>87026</v>
      </c>
      <c r="E44" s="71"/>
      <c r="F44" s="71">
        <f t="shared" si="5"/>
        <v>56765</v>
      </c>
      <c r="G44" s="71"/>
      <c r="H44" s="71">
        <f t="shared" ref="H44" si="56">G44+F44</f>
        <v>56765</v>
      </c>
      <c r="I44" s="72">
        <v>31</v>
      </c>
      <c r="J44" s="71">
        <f t="shared" si="12"/>
        <v>56765</v>
      </c>
      <c r="K44" s="71">
        <f t="shared" si="13"/>
        <v>21179</v>
      </c>
      <c r="L44" s="71">
        <f t="shared" si="14"/>
        <v>9082</v>
      </c>
      <c r="M44" s="71"/>
      <c r="N44" s="71"/>
      <c r="O44" s="71"/>
      <c r="P44" s="70">
        <f t="shared" si="15"/>
        <v>87026</v>
      </c>
      <c r="Q44" s="71"/>
      <c r="R44" s="71"/>
      <c r="S44" s="70">
        <f t="shared" ref="S44" si="57">IF(P44&gt;20001,200,IF(P44&gt;15001,150,IF(P44&lt;15000,0,)))</f>
        <v>200</v>
      </c>
      <c r="T44" s="70">
        <f t="shared" ref="T44" si="58">IF(P44,IF(1,75),IF(1,0))</f>
        <v>75</v>
      </c>
      <c r="U44" s="70"/>
      <c r="V44" s="70"/>
      <c r="W44" s="70"/>
      <c r="X44" s="70">
        <f>SUM(Q44:W44)</f>
        <v>275</v>
      </c>
      <c r="Y44" s="70">
        <f>P44-X44</f>
        <v>86751</v>
      </c>
      <c r="Z44" s="75" t="s">
        <v>133</v>
      </c>
      <c r="AA44" s="176" t="s">
        <v>45</v>
      </c>
    </row>
    <row r="45" ht="19.5" customHeight="1" spans="1:27">
      <c r="A45" s="68">
        <v>37</v>
      </c>
      <c r="B45" s="69" t="s">
        <v>134</v>
      </c>
      <c r="C45" s="70" t="s">
        <v>102</v>
      </c>
      <c r="D45" s="71">
        <v>88053</v>
      </c>
      <c r="E45" s="71"/>
      <c r="F45" s="71">
        <f t="shared" si="5"/>
        <v>57435</v>
      </c>
      <c r="G45" s="71"/>
      <c r="H45" s="71">
        <f t="shared" ref="H45:H52" si="59">G45+F45</f>
        <v>57435</v>
      </c>
      <c r="I45" s="72">
        <v>31</v>
      </c>
      <c r="J45" s="71">
        <f t="shared" si="12"/>
        <v>57435</v>
      </c>
      <c r="K45" s="71">
        <f t="shared" si="13"/>
        <v>21429</v>
      </c>
      <c r="L45" s="71">
        <f t="shared" si="14"/>
        <v>9190</v>
      </c>
      <c r="M45" s="71"/>
      <c r="N45" s="71"/>
      <c r="O45" s="71"/>
      <c r="P45" s="70">
        <f t="shared" si="15"/>
        <v>88054</v>
      </c>
      <c r="Q45" s="71"/>
      <c r="R45" s="71"/>
      <c r="S45" s="70">
        <f t="shared" ref="S45:S58" si="60">IF(P45&gt;20001,200,IF(P45&gt;15001,150,IF(P45&lt;15000,0,)))</f>
        <v>200</v>
      </c>
      <c r="T45" s="70">
        <f t="shared" ref="T45:T58" si="61">IF(P45,IF(1,75),IF(1,0))</f>
        <v>75</v>
      </c>
      <c r="U45" s="70"/>
      <c r="V45" s="70"/>
      <c r="W45" s="70"/>
      <c r="X45" s="70">
        <f>SUM(R45:W45)</f>
        <v>275</v>
      </c>
      <c r="Y45" s="70">
        <f>(P45-X45)</f>
        <v>87779</v>
      </c>
      <c r="Z45" s="75" t="s">
        <v>135</v>
      </c>
      <c r="AA45" s="176" t="s">
        <v>136</v>
      </c>
    </row>
    <row r="46" ht="19.5" customHeight="1" spans="1:27">
      <c r="A46" s="68">
        <v>38</v>
      </c>
      <c r="B46" s="69" t="s">
        <v>137</v>
      </c>
      <c r="C46" s="70" t="s">
        <v>102</v>
      </c>
      <c r="D46" s="71">
        <v>88053</v>
      </c>
      <c r="E46" s="71"/>
      <c r="F46" s="71">
        <f t="shared" si="5"/>
        <v>57435</v>
      </c>
      <c r="G46" s="71"/>
      <c r="H46" s="71">
        <f t="shared" si="59"/>
        <v>57435</v>
      </c>
      <c r="I46" s="72">
        <v>31</v>
      </c>
      <c r="J46" s="71">
        <f t="shared" si="12"/>
        <v>57435</v>
      </c>
      <c r="K46" s="71">
        <f t="shared" si="13"/>
        <v>21429</v>
      </c>
      <c r="L46" s="71">
        <f t="shared" si="14"/>
        <v>9190</v>
      </c>
      <c r="M46" s="71"/>
      <c r="N46" s="71"/>
      <c r="O46" s="71"/>
      <c r="P46" s="70">
        <f t="shared" si="15"/>
        <v>88054</v>
      </c>
      <c r="Q46" s="71"/>
      <c r="R46" s="71"/>
      <c r="S46" s="70">
        <f t="shared" si="60"/>
        <v>200</v>
      </c>
      <c r="T46" s="70">
        <f t="shared" si="61"/>
        <v>75</v>
      </c>
      <c r="U46" s="70"/>
      <c r="V46" s="70"/>
      <c r="W46" s="70"/>
      <c r="X46" s="70">
        <f t="shared" ref="X46:X63" si="62">SUM(Q46:W46)</f>
        <v>275</v>
      </c>
      <c r="Y46" s="70">
        <f t="shared" ref="Y46:Y63" si="63">P46-X46</f>
        <v>87779</v>
      </c>
      <c r="Z46" s="75" t="s">
        <v>138</v>
      </c>
      <c r="AA46" s="176" t="s">
        <v>139</v>
      </c>
    </row>
    <row r="47" ht="19.5" customHeight="1" spans="1:27">
      <c r="A47" s="68">
        <v>39</v>
      </c>
      <c r="B47" s="69" t="s">
        <v>140</v>
      </c>
      <c r="C47" s="70" t="s">
        <v>74</v>
      </c>
      <c r="D47" s="71">
        <v>74589</v>
      </c>
      <c r="E47" s="71"/>
      <c r="F47" s="71">
        <f t="shared" si="5"/>
        <v>48652</v>
      </c>
      <c r="G47" s="71"/>
      <c r="H47" s="71">
        <f>F47+G47</f>
        <v>48652</v>
      </c>
      <c r="I47" s="72">
        <v>31</v>
      </c>
      <c r="J47" s="71">
        <f t="shared" si="12"/>
        <v>48652</v>
      </c>
      <c r="K47" s="71">
        <f t="shared" si="13"/>
        <v>18152</v>
      </c>
      <c r="L47" s="71">
        <f t="shared" si="14"/>
        <v>7784</v>
      </c>
      <c r="M47" s="71"/>
      <c r="N47" s="71"/>
      <c r="O47" s="71"/>
      <c r="P47" s="70">
        <f t="shared" si="15"/>
        <v>74588</v>
      </c>
      <c r="Q47" s="71"/>
      <c r="R47" s="71"/>
      <c r="S47" s="70">
        <f t="shared" si="60"/>
        <v>200</v>
      </c>
      <c r="T47" s="70">
        <f t="shared" si="61"/>
        <v>75</v>
      </c>
      <c r="U47" s="70"/>
      <c r="V47" s="70"/>
      <c r="W47" s="70"/>
      <c r="X47" s="70">
        <f t="shared" si="62"/>
        <v>275</v>
      </c>
      <c r="Y47" s="70">
        <f t="shared" si="63"/>
        <v>74313</v>
      </c>
      <c r="Z47" s="75" t="s">
        <v>141</v>
      </c>
      <c r="AA47" s="176" t="s">
        <v>45</v>
      </c>
    </row>
    <row r="48" ht="19.5" customHeight="1" spans="1:27">
      <c r="A48" s="68">
        <v>40</v>
      </c>
      <c r="B48" s="69" t="s">
        <v>142</v>
      </c>
      <c r="C48" s="70" t="s">
        <v>74</v>
      </c>
      <c r="D48" s="71">
        <v>69586</v>
      </c>
      <c r="E48" s="71"/>
      <c r="F48" s="71">
        <f t="shared" si="5"/>
        <v>45389</v>
      </c>
      <c r="G48" s="71"/>
      <c r="H48" s="71">
        <f>F48+G48</f>
        <v>45389</v>
      </c>
      <c r="I48" s="72">
        <v>31</v>
      </c>
      <c r="J48" s="71">
        <f t="shared" si="12"/>
        <v>45389</v>
      </c>
      <c r="K48" s="71">
        <f t="shared" si="13"/>
        <v>16935</v>
      </c>
      <c r="L48" s="71">
        <f t="shared" si="14"/>
        <v>7262</v>
      </c>
      <c r="M48" s="71"/>
      <c r="N48" s="71"/>
      <c r="O48" s="71"/>
      <c r="P48" s="70">
        <f t="shared" si="15"/>
        <v>69586</v>
      </c>
      <c r="Q48" s="71"/>
      <c r="R48" s="71"/>
      <c r="S48" s="70">
        <f t="shared" si="60"/>
        <v>200</v>
      </c>
      <c r="T48" s="70">
        <f t="shared" si="61"/>
        <v>75</v>
      </c>
      <c r="U48" s="70"/>
      <c r="V48" s="70"/>
      <c r="W48" s="70"/>
      <c r="X48" s="70">
        <f t="shared" si="62"/>
        <v>275</v>
      </c>
      <c r="Y48" s="70">
        <f t="shared" si="63"/>
        <v>69311</v>
      </c>
      <c r="Z48" s="75" t="s">
        <v>143</v>
      </c>
      <c r="AA48" s="176" t="s">
        <v>45</v>
      </c>
    </row>
    <row r="49" ht="19.5" customHeight="1" spans="1:27">
      <c r="A49" s="68">
        <v>41</v>
      </c>
      <c r="B49" s="69" t="s">
        <v>144</v>
      </c>
      <c r="C49" s="70" t="s">
        <v>74</v>
      </c>
      <c r="D49" s="71">
        <v>75030</v>
      </c>
      <c r="E49" s="71"/>
      <c r="F49" s="71">
        <f t="shared" si="5"/>
        <v>48940</v>
      </c>
      <c r="G49" s="71"/>
      <c r="H49" s="71">
        <f t="shared" ref="H49" si="64">F49+G49</f>
        <v>48940</v>
      </c>
      <c r="I49" s="72">
        <v>31</v>
      </c>
      <c r="J49" s="71">
        <f t="shared" si="12"/>
        <v>48940</v>
      </c>
      <c r="K49" s="71">
        <f t="shared" si="13"/>
        <v>18260</v>
      </c>
      <c r="L49" s="71">
        <f t="shared" si="14"/>
        <v>7830</v>
      </c>
      <c r="M49" s="71"/>
      <c r="N49" s="71"/>
      <c r="O49" s="71"/>
      <c r="P49" s="70">
        <f t="shared" si="15"/>
        <v>75030</v>
      </c>
      <c r="Q49" s="71"/>
      <c r="R49" s="71"/>
      <c r="S49" s="70">
        <f t="shared" si="60"/>
        <v>200</v>
      </c>
      <c r="T49" s="70">
        <f t="shared" si="61"/>
        <v>75</v>
      </c>
      <c r="U49" s="70"/>
      <c r="V49" s="70"/>
      <c r="W49" s="70"/>
      <c r="X49" s="70">
        <f t="shared" si="62"/>
        <v>275</v>
      </c>
      <c r="Y49" s="70">
        <f t="shared" si="63"/>
        <v>74755</v>
      </c>
      <c r="Z49" s="75" t="s">
        <v>145</v>
      </c>
      <c r="AA49" s="176" t="s">
        <v>146</v>
      </c>
    </row>
    <row r="50" ht="19.5" customHeight="1" spans="1:27">
      <c r="A50" s="68">
        <v>42</v>
      </c>
      <c r="B50" s="69" t="s">
        <v>147</v>
      </c>
      <c r="C50" s="70" t="s">
        <v>74</v>
      </c>
      <c r="D50" s="71">
        <v>56246</v>
      </c>
      <c r="E50" s="71"/>
      <c r="F50" s="71">
        <f t="shared" si="5"/>
        <v>36688</v>
      </c>
      <c r="G50" s="71"/>
      <c r="H50" s="71">
        <f t="shared" si="59"/>
        <v>36688</v>
      </c>
      <c r="I50" s="72">
        <v>31</v>
      </c>
      <c r="J50" s="71">
        <f t="shared" si="12"/>
        <v>36688</v>
      </c>
      <c r="K50" s="71">
        <f t="shared" si="13"/>
        <v>13688</v>
      </c>
      <c r="L50" s="71">
        <f t="shared" si="14"/>
        <v>5870</v>
      </c>
      <c r="M50" s="71"/>
      <c r="N50" s="71"/>
      <c r="O50" s="71"/>
      <c r="P50" s="70">
        <f t="shared" si="15"/>
        <v>56246</v>
      </c>
      <c r="Q50" s="71">
        <v>3600</v>
      </c>
      <c r="R50" s="71"/>
      <c r="S50" s="70">
        <f t="shared" si="60"/>
        <v>200</v>
      </c>
      <c r="T50" s="70">
        <f t="shared" si="61"/>
        <v>75</v>
      </c>
      <c r="U50" s="70"/>
      <c r="V50" s="70"/>
      <c r="W50" s="70"/>
      <c r="X50" s="70">
        <f t="shared" si="62"/>
        <v>3875</v>
      </c>
      <c r="Y50" s="70">
        <f t="shared" si="63"/>
        <v>52371</v>
      </c>
      <c r="Z50" s="75" t="s">
        <v>148</v>
      </c>
      <c r="AA50" s="176" t="s">
        <v>45</v>
      </c>
    </row>
    <row r="51" ht="19.5" customHeight="1" spans="1:27">
      <c r="A51" s="68">
        <v>43</v>
      </c>
      <c r="B51" s="69" t="s">
        <v>149</v>
      </c>
      <c r="C51" s="70" t="s">
        <v>74</v>
      </c>
      <c r="D51" s="71">
        <v>75000</v>
      </c>
      <c r="E51" s="71"/>
      <c r="F51" s="71">
        <f t="shared" si="5"/>
        <v>48920</v>
      </c>
      <c r="G51" s="71"/>
      <c r="H51" s="71">
        <f t="shared" si="59"/>
        <v>48920</v>
      </c>
      <c r="I51" s="72">
        <v>31</v>
      </c>
      <c r="J51" s="71">
        <f t="shared" si="12"/>
        <v>48920</v>
      </c>
      <c r="K51" s="71">
        <f t="shared" si="13"/>
        <v>18252</v>
      </c>
      <c r="L51" s="71">
        <f t="shared" si="14"/>
        <v>7827</v>
      </c>
      <c r="M51" s="71"/>
      <c r="N51" s="71"/>
      <c r="O51" s="71"/>
      <c r="P51" s="70">
        <f t="shared" si="15"/>
        <v>74999</v>
      </c>
      <c r="Q51" s="71">
        <v>3600</v>
      </c>
      <c r="R51" s="71"/>
      <c r="S51" s="70">
        <f t="shared" si="60"/>
        <v>200</v>
      </c>
      <c r="T51" s="70">
        <f t="shared" si="61"/>
        <v>75</v>
      </c>
      <c r="U51" s="70"/>
      <c r="V51" s="70"/>
      <c r="W51" s="70"/>
      <c r="X51" s="70">
        <f t="shared" si="62"/>
        <v>3875</v>
      </c>
      <c r="Y51" s="70">
        <f t="shared" si="63"/>
        <v>71124</v>
      </c>
      <c r="Z51" s="75" t="s">
        <v>150</v>
      </c>
      <c r="AA51" s="176" t="s">
        <v>45</v>
      </c>
    </row>
    <row r="52" ht="19.5" customHeight="1" spans="1:27">
      <c r="A52" s="68">
        <v>44</v>
      </c>
      <c r="B52" s="69" t="s">
        <v>151</v>
      </c>
      <c r="C52" s="70" t="s">
        <v>82</v>
      </c>
      <c r="D52" s="71">
        <v>55234</v>
      </c>
      <c r="E52" s="71"/>
      <c r="F52" s="71">
        <f t="shared" si="5"/>
        <v>36028</v>
      </c>
      <c r="G52" s="71"/>
      <c r="H52" s="71">
        <f t="shared" si="59"/>
        <v>36028</v>
      </c>
      <c r="I52" s="72">
        <v>29</v>
      </c>
      <c r="J52" s="71">
        <f t="shared" si="12"/>
        <v>33703.6129032258</v>
      </c>
      <c r="K52" s="71">
        <f t="shared" si="13"/>
        <v>12575</v>
      </c>
      <c r="L52" s="71">
        <f t="shared" si="14"/>
        <v>5393</v>
      </c>
      <c r="M52" s="71"/>
      <c r="N52" s="71"/>
      <c r="O52" s="71"/>
      <c r="P52" s="70">
        <f t="shared" si="15"/>
        <v>51672</v>
      </c>
      <c r="Q52" s="71"/>
      <c r="R52" s="71"/>
      <c r="S52" s="70">
        <f t="shared" si="60"/>
        <v>200</v>
      </c>
      <c r="T52" s="70">
        <f t="shared" si="61"/>
        <v>75</v>
      </c>
      <c r="U52" s="70"/>
      <c r="V52" s="70"/>
      <c r="W52" s="70"/>
      <c r="X52" s="70">
        <f t="shared" si="62"/>
        <v>275</v>
      </c>
      <c r="Y52" s="70">
        <f t="shared" si="63"/>
        <v>51397</v>
      </c>
      <c r="Z52" s="75" t="s">
        <v>152</v>
      </c>
      <c r="AA52" s="176" t="s">
        <v>153</v>
      </c>
    </row>
    <row r="53" ht="19.5" customHeight="1" spans="1:27">
      <c r="A53" s="68">
        <v>45</v>
      </c>
      <c r="B53" s="94" t="s">
        <v>154</v>
      </c>
      <c r="C53" s="70" t="s">
        <v>61</v>
      </c>
      <c r="D53" s="71">
        <v>68047</v>
      </c>
      <c r="E53" s="71"/>
      <c r="F53" s="71">
        <f t="shared" si="5"/>
        <v>44385</v>
      </c>
      <c r="G53" s="71"/>
      <c r="H53" s="71">
        <f>F53+G53</f>
        <v>44385</v>
      </c>
      <c r="I53" s="72">
        <v>31</v>
      </c>
      <c r="J53" s="71">
        <f t="shared" si="12"/>
        <v>44385</v>
      </c>
      <c r="K53" s="71">
        <f t="shared" si="13"/>
        <v>16560</v>
      </c>
      <c r="L53" s="71">
        <f t="shared" si="14"/>
        <v>7102</v>
      </c>
      <c r="M53" s="71"/>
      <c r="N53" s="71"/>
      <c r="O53" s="71"/>
      <c r="P53" s="70">
        <f t="shared" si="15"/>
        <v>68047</v>
      </c>
      <c r="Q53" s="71"/>
      <c r="R53" s="71"/>
      <c r="S53" s="70">
        <f t="shared" ref="S53:S54" si="65">IF(P53&gt;20001,200,IF(P53&gt;15001,150,IF(P53&lt;15000,0,)))</f>
        <v>200</v>
      </c>
      <c r="T53" s="70">
        <f t="shared" ref="T53:T54" si="66">IF(P53,IF(1,75),IF(1,0))</f>
        <v>75</v>
      </c>
      <c r="U53" s="70"/>
      <c r="V53" s="69"/>
      <c r="W53" s="70"/>
      <c r="X53" s="70">
        <f t="shared" si="62"/>
        <v>275</v>
      </c>
      <c r="Y53" s="70">
        <f t="shared" si="63"/>
        <v>67772</v>
      </c>
      <c r="Z53" s="172" t="s">
        <v>155</v>
      </c>
      <c r="AA53" s="67" t="s">
        <v>156</v>
      </c>
    </row>
    <row r="54" ht="19.5" customHeight="1" spans="1:27">
      <c r="A54" s="68">
        <v>46</v>
      </c>
      <c r="B54" s="94" t="s">
        <v>157</v>
      </c>
      <c r="C54" s="70" t="s">
        <v>61</v>
      </c>
      <c r="D54" s="71">
        <v>50017</v>
      </c>
      <c r="E54" s="71"/>
      <c r="F54" s="71">
        <f t="shared" si="5"/>
        <v>32625</v>
      </c>
      <c r="G54" s="71"/>
      <c r="H54" s="71">
        <f t="shared" ref="H54" si="67">G54+F54</f>
        <v>32625</v>
      </c>
      <c r="I54" s="72">
        <v>30</v>
      </c>
      <c r="J54" s="71">
        <f t="shared" si="12"/>
        <v>31572.5806451613</v>
      </c>
      <c r="K54" s="71">
        <f t="shared" si="13"/>
        <v>11780</v>
      </c>
      <c r="L54" s="71">
        <f t="shared" si="14"/>
        <v>5052</v>
      </c>
      <c r="M54" s="71"/>
      <c r="N54" s="71"/>
      <c r="O54" s="71"/>
      <c r="P54" s="70">
        <f t="shared" si="15"/>
        <v>48405</v>
      </c>
      <c r="Q54" s="71"/>
      <c r="R54" s="71"/>
      <c r="S54" s="70">
        <f t="shared" si="65"/>
        <v>200</v>
      </c>
      <c r="T54" s="70">
        <f t="shared" si="66"/>
        <v>75</v>
      </c>
      <c r="U54" s="70"/>
      <c r="V54" s="70"/>
      <c r="W54" s="70"/>
      <c r="X54" s="70">
        <f t="shared" ref="X54" si="68">SUM(Q54:W54)</f>
        <v>275</v>
      </c>
      <c r="Y54" s="70">
        <f t="shared" si="63"/>
        <v>48130</v>
      </c>
      <c r="Z54" s="75">
        <v>32114776318</v>
      </c>
      <c r="AA54" s="67" t="s">
        <v>158</v>
      </c>
    </row>
    <row r="55" ht="19.5" customHeight="1" spans="1:27">
      <c r="A55" s="68">
        <v>47</v>
      </c>
      <c r="B55" s="94" t="s">
        <v>159</v>
      </c>
      <c r="C55" s="70" t="s">
        <v>61</v>
      </c>
      <c r="D55" s="71">
        <v>54277</v>
      </c>
      <c r="E55" s="71"/>
      <c r="F55" s="71">
        <f t="shared" si="5"/>
        <v>35403</v>
      </c>
      <c r="G55" s="71"/>
      <c r="H55" s="71">
        <f t="shared" ref="H55:H56" si="69">F55+G55</f>
        <v>35403</v>
      </c>
      <c r="I55" s="72">
        <v>31</v>
      </c>
      <c r="J55" s="71">
        <f t="shared" si="12"/>
        <v>35403</v>
      </c>
      <c r="K55" s="71">
        <f t="shared" si="13"/>
        <v>13209</v>
      </c>
      <c r="L55" s="71">
        <f t="shared" si="14"/>
        <v>5664</v>
      </c>
      <c r="M55" s="71"/>
      <c r="N55" s="71"/>
      <c r="O55" s="71"/>
      <c r="P55" s="70">
        <f t="shared" si="15"/>
        <v>54276</v>
      </c>
      <c r="Q55" s="71"/>
      <c r="R55" s="71"/>
      <c r="S55" s="70">
        <f t="shared" si="60"/>
        <v>200</v>
      </c>
      <c r="T55" s="70">
        <f t="shared" si="61"/>
        <v>75</v>
      </c>
      <c r="U55" s="70"/>
      <c r="V55" s="69"/>
      <c r="W55" s="70">
        <v>1584</v>
      </c>
      <c r="X55" s="70">
        <f t="shared" si="62"/>
        <v>1859</v>
      </c>
      <c r="Y55" s="70">
        <f t="shared" si="63"/>
        <v>52417</v>
      </c>
      <c r="Z55" s="172" t="s">
        <v>160</v>
      </c>
      <c r="AA55" s="67" t="s">
        <v>156</v>
      </c>
    </row>
    <row r="56" ht="19.5" customHeight="1" spans="1:27">
      <c r="A56" s="68">
        <v>48</v>
      </c>
      <c r="B56" s="69" t="s">
        <v>161</v>
      </c>
      <c r="C56" s="70" t="s">
        <v>61</v>
      </c>
      <c r="D56" s="71">
        <v>48000</v>
      </c>
      <c r="E56" s="71"/>
      <c r="F56" s="71">
        <f t="shared" si="5"/>
        <v>31309</v>
      </c>
      <c r="G56" s="71"/>
      <c r="H56" s="71">
        <f t="shared" si="69"/>
        <v>31309</v>
      </c>
      <c r="I56" s="72">
        <v>30</v>
      </c>
      <c r="J56" s="71">
        <f t="shared" si="12"/>
        <v>30299.0322580645</v>
      </c>
      <c r="K56" s="71">
        <f t="shared" si="13"/>
        <v>11305</v>
      </c>
      <c r="L56" s="71">
        <f t="shared" si="14"/>
        <v>4848</v>
      </c>
      <c r="M56" s="71"/>
      <c r="N56" s="71"/>
      <c r="O56" s="71"/>
      <c r="P56" s="70">
        <f t="shared" si="15"/>
        <v>46453</v>
      </c>
      <c r="Q56" s="71"/>
      <c r="R56" s="71"/>
      <c r="S56" s="70">
        <f t="shared" si="60"/>
        <v>200</v>
      </c>
      <c r="T56" s="70">
        <f t="shared" si="61"/>
        <v>75</v>
      </c>
      <c r="U56" s="70"/>
      <c r="V56" s="70"/>
      <c r="W56" s="70">
        <v>2625</v>
      </c>
      <c r="X56" s="70">
        <f t="shared" si="62"/>
        <v>2900</v>
      </c>
      <c r="Y56" s="70">
        <f t="shared" si="63"/>
        <v>43553</v>
      </c>
      <c r="Z56" s="172" t="s">
        <v>162</v>
      </c>
      <c r="AA56" s="95" t="s">
        <v>163</v>
      </c>
    </row>
    <row r="57" ht="19.5" customHeight="1" spans="1:27">
      <c r="A57" s="68">
        <v>49</v>
      </c>
      <c r="B57" s="69" t="s">
        <v>164</v>
      </c>
      <c r="C57" s="70" t="s">
        <v>61</v>
      </c>
      <c r="D57" s="70">
        <v>21000</v>
      </c>
      <c r="E57" s="70">
        <v>18000</v>
      </c>
      <c r="F57" s="71">
        <f t="shared" si="5"/>
        <v>13698</v>
      </c>
      <c r="G57" s="71"/>
      <c r="H57" s="71">
        <f>G57+F57</f>
        <v>13698</v>
      </c>
      <c r="I57" s="72">
        <v>29.5</v>
      </c>
      <c r="J57" s="71">
        <f t="shared" si="12"/>
        <v>13035.1935483871</v>
      </c>
      <c r="K57" s="71">
        <f t="shared" si="13"/>
        <v>4863</v>
      </c>
      <c r="L57" s="71">
        <f t="shared" si="14"/>
        <v>2086</v>
      </c>
      <c r="M57" s="71"/>
      <c r="N57" s="71"/>
      <c r="O57" s="71"/>
      <c r="P57" s="70">
        <f t="shared" si="15"/>
        <v>19985</v>
      </c>
      <c r="Q57" s="70"/>
      <c r="R57" s="70"/>
      <c r="S57" s="70">
        <f t="shared" si="60"/>
        <v>150</v>
      </c>
      <c r="T57" s="70">
        <f t="shared" si="61"/>
        <v>75</v>
      </c>
      <c r="U57" s="70"/>
      <c r="V57" s="70"/>
      <c r="W57" s="70">
        <v>1583</v>
      </c>
      <c r="X57" s="70">
        <f t="shared" si="62"/>
        <v>1808</v>
      </c>
      <c r="Y57" s="70">
        <f t="shared" si="63"/>
        <v>18177</v>
      </c>
      <c r="Z57" s="172" t="s">
        <v>165</v>
      </c>
      <c r="AA57" s="95" t="s">
        <v>166</v>
      </c>
    </row>
    <row r="58" ht="19.5" customHeight="1" spans="1:27">
      <c r="A58" s="68">
        <v>50</v>
      </c>
      <c r="B58" s="69" t="s">
        <v>167</v>
      </c>
      <c r="C58" s="70" t="s">
        <v>61</v>
      </c>
      <c r="D58" s="71">
        <v>42000</v>
      </c>
      <c r="E58" s="71">
        <v>42000</v>
      </c>
      <c r="F58" s="71">
        <f t="shared" si="5"/>
        <v>27395</v>
      </c>
      <c r="G58" s="71"/>
      <c r="H58" s="71">
        <f t="shared" ref="H58" si="70">F58+G58</f>
        <v>27395</v>
      </c>
      <c r="I58" s="72">
        <v>27</v>
      </c>
      <c r="J58" s="71">
        <f t="shared" si="12"/>
        <v>23860.1612903226</v>
      </c>
      <c r="K58" s="71">
        <f t="shared" si="13"/>
        <v>8902</v>
      </c>
      <c r="L58" s="71">
        <f t="shared" si="14"/>
        <v>3818</v>
      </c>
      <c r="M58" s="71"/>
      <c r="N58" s="71"/>
      <c r="O58" s="71"/>
      <c r="P58" s="70">
        <f t="shared" si="15"/>
        <v>36581</v>
      </c>
      <c r="Q58" s="71"/>
      <c r="R58" s="71">
        <v>0</v>
      </c>
      <c r="S58" s="70">
        <f t="shared" si="60"/>
        <v>200</v>
      </c>
      <c r="T58" s="70">
        <f t="shared" si="61"/>
        <v>75</v>
      </c>
      <c r="U58" s="70"/>
      <c r="V58" s="70"/>
      <c r="W58" s="70"/>
      <c r="X58" s="70">
        <f t="shared" si="62"/>
        <v>275</v>
      </c>
      <c r="Y58" s="70">
        <f t="shared" si="63"/>
        <v>36306</v>
      </c>
      <c r="Z58" s="75">
        <v>31676511392</v>
      </c>
      <c r="AA58" s="176" t="s">
        <v>168</v>
      </c>
    </row>
    <row r="59" ht="19.5" customHeight="1" spans="1:27">
      <c r="A59" s="68">
        <v>51</v>
      </c>
      <c r="B59" s="69" t="s">
        <v>169</v>
      </c>
      <c r="C59" s="70" t="s">
        <v>61</v>
      </c>
      <c r="D59" s="71">
        <v>42000</v>
      </c>
      <c r="E59" s="71">
        <v>42000</v>
      </c>
      <c r="F59" s="71">
        <f t="shared" si="5"/>
        <v>27395</v>
      </c>
      <c r="G59" s="71"/>
      <c r="H59" s="71">
        <f t="shared" ref="H59" si="71">F59+G59</f>
        <v>27395</v>
      </c>
      <c r="I59" s="72">
        <v>29</v>
      </c>
      <c r="J59" s="71">
        <f t="shared" si="12"/>
        <v>25627.5806451613</v>
      </c>
      <c r="K59" s="71">
        <f t="shared" si="13"/>
        <v>9562</v>
      </c>
      <c r="L59" s="71">
        <f t="shared" si="14"/>
        <v>4100</v>
      </c>
      <c r="M59" s="71"/>
      <c r="N59" s="71"/>
      <c r="O59" s="71"/>
      <c r="P59" s="70">
        <f t="shared" si="15"/>
        <v>39290</v>
      </c>
      <c r="Q59" s="71"/>
      <c r="R59" s="71">
        <v>0</v>
      </c>
      <c r="S59" s="70">
        <v>200</v>
      </c>
      <c r="T59" s="70">
        <f t="shared" ref="T59:T62" si="72">IF(P59,IF(1,75),IF(1,0))</f>
        <v>75</v>
      </c>
      <c r="U59" s="70"/>
      <c r="V59" s="70"/>
      <c r="W59" s="70"/>
      <c r="X59" s="70">
        <f t="shared" si="62"/>
        <v>275</v>
      </c>
      <c r="Y59" s="70">
        <f t="shared" si="63"/>
        <v>39015</v>
      </c>
      <c r="Z59" s="75">
        <v>7144144381</v>
      </c>
      <c r="AA59" s="176" t="s">
        <v>156</v>
      </c>
    </row>
    <row r="60" ht="19.5" customHeight="1" spans="1:27">
      <c r="A60" s="68">
        <v>52</v>
      </c>
      <c r="B60" s="69" t="s">
        <v>170</v>
      </c>
      <c r="C60" s="70" t="s">
        <v>61</v>
      </c>
      <c r="D60" s="71">
        <v>70000</v>
      </c>
      <c r="E60" s="71">
        <v>42000</v>
      </c>
      <c r="F60" s="71">
        <f t="shared" si="5"/>
        <v>45659</v>
      </c>
      <c r="G60" s="71"/>
      <c r="H60" s="71"/>
      <c r="I60" s="72">
        <v>31</v>
      </c>
      <c r="J60" s="71">
        <f t="shared" si="12"/>
        <v>45659</v>
      </c>
      <c r="K60" s="71">
        <f t="shared" si="13"/>
        <v>17035</v>
      </c>
      <c r="L60" s="71">
        <f t="shared" si="14"/>
        <v>7305</v>
      </c>
      <c r="M60" s="71"/>
      <c r="N60" s="71"/>
      <c r="O60" s="71"/>
      <c r="P60" s="70">
        <f t="shared" si="15"/>
        <v>69999</v>
      </c>
      <c r="Q60" s="71"/>
      <c r="R60" s="71"/>
      <c r="S60" s="70">
        <v>200</v>
      </c>
      <c r="T60" s="70">
        <f t="shared" si="72"/>
        <v>75</v>
      </c>
      <c r="U60" s="70"/>
      <c r="V60" s="70"/>
      <c r="W60" s="70"/>
      <c r="X60" s="70">
        <f t="shared" si="62"/>
        <v>275</v>
      </c>
      <c r="Y60" s="70">
        <f t="shared" si="63"/>
        <v>69724</v>
      </c>
      <c r="Z60" s="172" t="s">
        <v>171</v>
      </c>
      <c r="AA60" s="176" t="s">
        <v>156</v>
      </c>
    </row>
    <row r="61" ht="19.5" customHeight="1" spans="1:27">
      <c r="A61" s="68">
        <v>53</v>
      </c>
      <c r="B61" s="69" t="s">
        <v>172</v>
      </c>
      <c r="C61" s="70" t="s">
        <v>61</v>
      </c>
      <c r="D61" s="71">
        <v>42000</v>
      </c>
      <c r="E61" s="71">
        <v>42000</v>
      </c>
      <c r="F61" s="71">
        <f t="shared" si="5"/>
        <v>27395</v>
      </c>
      <c r="G61" s="71"/>
      <c r="H61" s="71"/>
      <c r="I61" s="72">
        <v>29</v>
      </c>
      <c r="J61" s="71">
        <f t="shared" si="12"/>
        <v>25627.5806451613</v>
      </c>
      <c r="K61" s="71">
        <f t="shared" si="13"/>
        <v>9562</v>
      </c>
      <c r="L61" s="71">
        <f t="shared" si="14"/>
        <v>4100</v>
      </c>
      <c r="M61" s="71"/>
      <c r="N61" s="71"/>
      <c r="O61" s="71"/>
      <c r="P61" s="70">
        <f t="shared" si="15"/>
        <v>39290</v>
      </c>
      <c r="Q61" s="71"/>
      <c r="R61" s="71"/>
      <c r="S61" s="70">
        <v>200</v>
      </c>
      <c r="T61" s="70">
        <f t="shared" si="72"/>
        <v>75</v>
      </c>
      <c r="U61" s="70"/>
      <c r="V61" s="70"/>
      <c r="W61" s="70">
        <v>1584</v>
      </c>
      <c r="X61" s="70">
        <f t="shared" si="62"/>
        <v>1859</v>
      </c>
      <c r="Y61" s="70">
        <f t="shared" si="63"/>
        <v>37431</v>
      </c>
      <c r="Z61" s="172" t="s">
        <v>173</v>
      </c>
      <c r="AA61" s="176" t="s">
        <v>174</v>
      </c>
    </row>
    <row r="62" ht="19.5" customHeight="1" spans="1:27">
      <c r="A62" s="68">
        <v>54</v>
      </c>
      <c r="B62" s="69" t="s">
        <v>175</v>
      </c>
      <c r="C62" s="70" t="s">
        <v>61</v>
      </c>
      <c r="D62" s="71">
        <v>60000</v>
      </c>
      <c r="E62" s="71">
        <v>35000</v>
      </c>
      <c r="F62" s="71">
        <f t="shared" si="5"/>
        <v>39136</v>
      </c>
      <c r="G62" s="71"/>
      <c r="H62" s="71"/>
      <c r="I62" s="72">
        <v>24</v>
      </c>
      <c r="J62" s="71">
        <f t="shared" si="12"/>
        <v>30298.8387096774</v>
      </c>
      <c r="K62" s="71">
        <f t="shared" si="13"/>
        <v>11304</v>
      </c>
      <c r="L62" s="71">
        <f t="shared" si="14"/>
        <v>4848</v>
      </c>
      <c r="M62" s="71"/>
      <c r="N62" s="71"/>
      <c r="O62" s="71"/>
      <c r="P62" s="70">
        <f t="shared" si="15"/>
        <v>46451</v>
      </c>
      <c r="Q62" s="71"/>
      <c r="R62" s="71"/>
      <c r="S62" s="70">
        <v>200</v>
      </c>
      <c r="T62" s="70">
        <f t="shared" si="72"/>
        <v>75</v>
      </c>
      <c r="U62" s="70"/>
      <c r="V62" s="70"/>
      <c r="W62" s="70"/>
      <c r="X62" s="70">
        <f t="shared" si="62"/>
        <v>275</v>
      </c>
      <c r="Y62" s="70">
        <f t="shared" si="63"/>
        <v>46176</v>
      </c>
      <c r="Z62" s="172" t="s">
        <v>176</v>
      </c>
      <c r="AA62" s="95" t="s">
        <v>177</v>
      </c>
    </row>
    <row r="63" s="42" customFormat="1" ht="19.5" customHeight="1" spans="1:27">
      <c r="A63" s="68">
        <v>55</v>
      </c>
      <c r="B63" s="69" t="s">
        <v>178</v>
      </c>
      <c r="C63" s="70" t="s">
        <v>61</v>
      </c>
      <c r="D63" s="71">
        <v>23000</v>
      </c>
      <c r="E63" s="71">
        <v>23000</v>
      </c>
      <c r="F63" s="71">
        <f t="shared" si="5"/>
        <v>15002</v>
      </c>
      <c r="G63" s="71"/>
      <c r="H63" s="71"/>
      <c r="I63" s="72">
        <v>31</v>
      </c>
      <c r="J63" s="71">
        <f t="shared" si="12"/>
        <v>15002</v>
      </c>
      <c r="K63" s="71">
        <f t="shared" si="13"/>
        <v>5597</v>
      </c>
      <c r="L63" s="71">
        <f t="shared" si="14"/>
        <v>2400</v>
      </c>
      <c r="M63" s="71"/>
      <c r="N63" s="71"/>
      <c r="O63" s="71"/>
      <c r="P63" s="70">
        <f t="shared" si="15"/>
        <v>22999</v>
      </c>
      <c r="Q63" s="71"/>
      <c r="R63" s="71"/>
      <c r="S63" s="70">
        <v>200</v>
      </c>
      <c r="T63" s="70">
        <f t="shared" ref="T63:T64" si="73">IF(P63,IF(1,75),IF(1,0))</f>
        <v>75</v>
      </c>
      <c r="U63" s="70"/>
      <c r="V63" s="70"/>
      <c r="W63" s="70"/>
      <c r="X63" s="70">
        <f t="shared" ref="X63:X64" si="74">SUM(Q63:W63)</f>
        <v>275</v>
      </c>
      <c r="Y63" s="70">
        <f t="shared" ref="Y63:Y64" si="75">P63-X63</f>
        <v>22724</v>
      </c>
      <c r="Z63" s="172" t="s">
        <v>179</v>
      </c>
      <c r="AA63" s="67" t="s">
        <v>45</v>
      </c>
    </row>
    <row r="64" ht="19.5" customHeight="1" spans="1:27">
      <c r="A64" s="68">
        <v>56</v>
      </c>
      <c r="B64" s="94" t="s">
        <v>180</v>
      </c>
      <c r="C64" s="70" t="s">
        <v>61</v>
      </c>
      <c r="D64" s="71">
        <v>50000</v>
      </c>
      <c r="E64" s="71">
        <v>50000</v>
      </c>
      <c r="F64" s="71">
        <f t="shared" si="5"/>
        <v>32614</v>
      </c>
      <c r="G64" s="71"/>
      <c r="H64" s="71"/>
      <c r="I64" s="72">
        <v>31</v>
      </c>
      <c r="J64" s="71">
        <f t="shared" si="12"/>
        <v>32614</v>
      </c>
      <c r="K64" s="71">
        <f t="shared" si="13"/>
        <v>12168</v>
      </c>
      <c r="L64" s="71">
        <f t="shared" si="14"/>
        <v>5218</v>
      </c>
      <c r="M64" s="71"/>
      <c r="N64" s="71"/>
      <c r="O64" s="71"/>
      <c r="P64" s="70">
        <f t="shared" si="15"/>
        <v>50000</v>
      </c>
      <c r="Q64" s="71"/>
      <c r="R64" s="71"/>
      <c r="S64" s="70">
        <v>200</v>
      </c>
      <c r="T64" s="70">
        <f t="shared" si="73"/>
        <v>75</v>
      </c>
      <c r="U64" s="70"/>
      <c r="V64" s="69"/>
      <c r="W64" s="70"/>
      <c r="X64" s="70">
        <f t="shared" si="74"/>
        <v>275</v>
      </c>
      <c r="Y64" s="70">
        <f t="shared" si="75"/>
        <v>49725</v>
      </c>
      <c r="Z64" s="75">
        <v>20128751147</v>
      </c>
      <c r="AA64" s="67" t="s">
        <v>181</v>
      </c>
    </row>
    <row r="65" ht="19.5" customHeight="1" spans="1:27">
      <c r="A65" s="68">
        <v>57</v>
      </c>
      <c r="B65" s="94" t="s">
        <v>182</v>
      </c>
      <c r="C65" s="70" t="s">
        <v>61</v>
      </c>
      <c r="D65" s="71">
        <v>45000</v>
      </c>
      <c r="E65" s="71">
        <v>50000</v>
      </c>
      <c r="F65" s="71">
        <f t="shared" ref="F65:F83" si="76">ROUND(D65/1.5331,0)</f>
        <v>29352</v>
      </c>
      <c r="G65" s="71"/>
      <c r="H65" s="71"/>
      <c r="I65" s="72">
        <v>31</v>
      </c>
      <c r="J65" s="71">
        <f t="shared" ref="J65:J86" si="77">F65/I$4*I65</f>
        <v>29352</v>
      </c>
      <c r="K65" s="71">
        <f t="shared" ref="K65:K83" si="78">ROUND(J65*37.31%,0)</f>
        <v>10951</v>
      </c>
      <c r="L65" s="71">
        <f t="shared" ref="L65:L83" si="79">ROUND(J65*16%,0)</f>
        <v>4696</v>
      </c>
      <c r="M65" s="71"/>
      <c r="N65" s="71"/>
      <c r="O65" s="71"/>
      <c r="P65" s="70">
        <f t="shared" ref="P65:P83" si="80">ROUNDUP(J65+K65+L65+M65+N65+O65,0)</f>
        <v>44999</v>
      </c>
      <c r="Q65" s="71"/>
      <c r="R65" s="71"/>
      <c r="S65" s="70">
        <v>200</v>
      </c>
      <c r="T65" s="70">
        <f t="shared" ref="T65" si="81">IF(P65,IF(1,75),IF(1,0))</f>
        <v>75</v>
      </c>
      <c r="U65" s="70"/>
      <c r="V65" s="69"/>
      <c r="W65" s="70"/>
      <c r="X65" s="70">
        <f t="shared" ref="X65" si="82">SUM(Q65:W65)</f>
        <v>275</v>
      </c>
      <c r="Y65" s="70">
        <f t="shared" ref="Y65" si="83">P65-X65</f>
        <v>44724</v>
      </c>
      <c r="Z65" s="172" t="s">
        <v>183</v>
      </c>
      <c r="AA65" s="67" t="s">
        <v>97</v>
      </c>
    </row>
    <row r="66" customHeight="1" spans="1:27">
      <c r="A66" s="68"/>
      <c r="B66" s="84" t="s">
        <v>184</v>
      </c>
      <c r="C66" s="70"/>
      <c r="D66" s="71"/>
      <c r="E66" s="71"/>
      <c r="F66" s="71">
        <f t="shared" si="76"/>
        <v>0</v>
      </c>
      <c r="G66" s="71"/>
      <c r="H66" s="71"/>
      <c r="I66" s="72"/>
      <c r="J66" s="71">
        <f t="shared" si="77"/>
        <v>0</v>
      </c>
      <c r="K66" s="71">
        <f t="shared" si="78"/>
        <v>0</v>
      </c>
      <c r="L66" s="71">
        <f t="shared" si="79"/>
        <v>0</v>
      </c>
      <c r="M66" s="71"/>
      <c r="N66" s="71"/>
      <c r="O66" s="71"/>
      <c r="P66" s="70">
        <f t="shared" si="80"/>
        <v>0</v>
      </c>
      <c r="Q66" s="71"/>
      <c r="R66" s="71"/>
      <c r="S66" s="70"/>
      <c r="T66" s="70"/>
      <c r="U66" s="70"/>
      <c r="V66" s="70"/>
      <c r="W66" s="70"/>
      <c r="X66" s="70"/>
      <c r="Y66" s="70"/>
      <c r="Z66" s="75"/>
      <c r="AA66" s="67"/>
    </row>
    <row r="67" ht="21.75" customHeight="1" spans="1:27">
      <c r="A67" s="68">
        <v>58</v>
      </c>
      <c r="B67" s="69" t="s">
        <v>185</v>
      </c>
      <c r="C67" s="70" t="s">
        <v>43</v>
      </c>
      <c r="D67" s="71">
        <v>107158</v>
      </c>
      <c r="E67" s="71"/>
      <c r="F67" s="71">
        <f t="shared" si="76"/>
        <v>69896</v>
      </c>
      <c r="G67" s="71"/>
      <c r="H67" s="71">
        <f t="shared" ref="H67:H68" si="84">G67+F67</f>
        <v>69896</v>
      </c>
      <c r="I67" s="72">
        <v>31</v>
      </c>
      <c r="J67" s="71">
        <f t="shared" si="77"/>
        <v>69896</v>
      </c>
      <c r="K67" s="71">
        <f t="shared" si="78"/>
        <v>26078</v>
      </c>
      <c r="L67" s="71">
        <f t="shared" si="79"/>
        <v>11183</v>
      </c>
      <c r="M67" s="71"/>
      <c r="N67" s="71"/>
      <c r="O67" s="71"/>
      <c r="P67" s="70">
        <f t="shared" si="80"/>
        <v>107157</v>
      </c>
      <c r="Q67" s="71">
        <v>3600</v>
      </c>
      <c r="R67" s="71">
        <v>1620</v>
      </c>
      <c r="S67" s="70">
        <f t="shared" ref="S67:S83" si="85">IF(P67&gt;20001,200,IF(P67&gt;15001,150,IF(P67&lt;15000,0,)))</f>
        <v>200</v>
      </c>
      <c r="T67" s="70">
        <f t="shared" ref="T67:T83" si="86">IF(P67,IF(1,75),IF(1,0))</f>
        <v>75</v>
      </c>
      <c r="U67" s="70"/>
      <c r="V67" s="70"/>
      <c r="W67" s="70">
        <v>958</v>
      </c>
      <c r="X67" s="70">
        <f t="shared" ref="X67:X83" si="87">SUM(Q67:W67)</f>
        <v>6453</v>
      </c>
      <c r="Y67" s="70">
        <f t="shared" ref="Y67:Y83" si="88">P67-X67</f>
        <v>100704</v>
      </c>
      <c r="Z67" s="172" t="s">
        <v>186</v>
      </c>
      <c r="AA67" s="67" t="s">
        <v>45</v>
      </c>
    </row>
    <row r="68" ht="21.75" customHeight="1" spans="1:27">
      <c r="A68" s="68">
        <v>59</v>
      </c>
      <c r="B68" s="69" t="s">
        <v>187</v>
      </c>
      <c r="C68" s="70" t="s">
        <v>74</v>
      </c>
      <c r="D68" s="71">
        <v>70000</v>
      </c>
      <c r="E68" s="71"/>
      <c r="F68" s="71">
        <f t="shared" si="76"/>
        <v>45659</v>
      </c>
      <c r="G68" s="71"/>
      <c r="H68" s="71">
        <f t="shared" si="84"/>
        <v>45659</v>
      </c>
      <c r="I68" s="72">
        <v>30</v>
      </c>
      <c r="J68" s="71">
        <f t="shared" si="77"/>
        <v>44186.1290322581</v>
      </c>
      <c r="K68" s="71">
        <f t="shared" si="78"/>
        <v>16486</v>
      </c>
      <c r="L68" s="71">
        <f t="shared" si="79"/>
        <v>7070</v>
      </c>
      <c r="M68" s="71"/>
      <c r="N68" s="71"/>
      <c r="O68" s="71"/>
      <c r="P68" s="70">
        <f t="shared" si="80"/>
        <v>67743</v>
      </c>
      <c r="Q68" s="71"/>
      <c r="R68" s="71">
        <v>0</v>
      </c>
      <c r="S68" s="70">
        <f t="shared" si="85"/>
        <v>200</v>
      </c>
      <c r="T68" s="70">
        <f t="shared" si="86"/>
        <v>75</v>
      </c>
      <c r="U68" s="70"/>
      <c r="V68" s="70"/>
      <c r="W68" s="70"/>
      <c r="X68" s="70">
        <f t="shared" si="87"/>
        <v>275</v>
      </c>
      <c r="Y68" s="70">
        <f t="shared" si="88"/>
        <v>67468</v>
      </c>
      <c r="Z68" s="172" t="s">
        <v>188</v>
      </c>
      <c r="AA68" s="67" t="s">
        <v>189</v>
      </c>
    </row>
    <row r="69" ht="21.75" customHeight="1" spans="1:27">
      <c r="A69" s="68">
        <v>60</v>
      </c>
      <c r="B69" s="69" t="s">
        <v>190</v>
      </c>
      <c r="C69" s="70" t="s">
        <v>74</v>
      </c>
      <c r="D69" s="71">
        <v>42000</v>
      </c>
      <c r="E69" s="71">
        <v>42000</v>
      </c>
      <c r="F69" s="71">
        <f t="shared" si="76"/>
        <v>27395</v>
      </c>
      <c r="G69" s="71"/>
      <c r="H69" s="71">
        <f t="shared" ref="H69" si="89">F69+G69</f>
        <v>27395</v>
      </c>
      <c r="I69" s="72">
        <v>28</v>
      </c>
      <c r="J69" s="71">
        <f t="shared" si="77"/>
        <v>24743.8709677419</v>
      </c>
      <c r="K69" s="71">
        <f t="shared" si="78"/>
        <v>9232</v>
      </c>
      <c r="L69" s="71">
        <f t="shared" si="79"/>
        <v>3959</v>
      </c>
      <c r="M69" s="71"/>
      <c r="N69" s="71"/>
      <c r="O69" s="71"/>
      <c r="P69" s="70">
        <f t="shared" si="80"/>
        <v>37935</v>
      </c>
      <c r="Q69" s="71"/>
      <c r="R69" s="71">
        <v>0</v>
      </c>
      <c r="S69" s="70">
        <f t="shared" si="85"/>
        <v>200</v>
      </c>
      <c r="T69" s="70">
        <f t="shared" si="86"/>
        <v>75</v>
      </c>
      <c r="U69" s="70"/>
      <c r="V69" s="69"/>
      <c r="W69" s="70"/>
      <c r="X69" s="70">
        <f t="shared" si="87"/>
        <v>275</v>
      </c>
      <c r="Y69" s="70">
        <f t="shared" si="88"/>
        <v>37660</v>
      </c>
      <c r="Z69" s="172" t="s">
        <v>191</v>
      </c>
      <c r="AA69" s="67" t="s">
        <v>166</v>
      </c>
    </row>
    <row r="70" ht="21.75" customHeight="1" spans="1:27">
      <c r="A70" s="68">
        <v>61</v>
      </c>
      <c r="B70" s="69" t="s">
        <v>192</v>
      </c>
      <c r="C70" s="70" t="s">
        <v>61</v>
      </c>
      <c r="D70" s="71">
        <v>74000</v>
      </c>
      <c r="E70" s="71"/>
      <c r="F70" s="71">
        <f t="shared" si="76"/>
        <v>48268</v>
      </c>
      <c r="G70" s="71"/>
      <c r="H70" s="71">
        <f>G70+F70</f>
        <v>48268</v>
      </c>
      <c r="I70" s="72">
        <v>31</v>
      </c>
      <c r="J70" s="71">
        <f t="shared" si="77"/>
        <v>48268</v>
      </c>
      <c r="K70" s="71">
        <f t="shared" si="78"/>
        <v>18009</v>
      </c>
      <c r="L70" s="71">
        <f t="shared" si="79"/>
        <v>7723</v>
      </c>
      <c r="M70" s="71"/>
      <c r="N70" s="71"/>
      <c r="O70" s="71"/>
      <c r="P70" s="70">
        <f t="shared" si="80"/>
        <v>74000</v>
      </c>
      <c r="Q70" s="71"/>
      <c r="R70" s="71">
        <v>0</v>
      </c>
      <c r="S70" s="70">
        <f t="shared" si="85"/>
        <v>200</v>
      </c>
      <c r="T70" s="70">
        <f t="shared" si="86"/>
        <v>75</v>
      </c>
      <c r="U70" s="70"/>
      <c r="V70" s="70"/>
      <c r="W70" s="70"/>
      <c r="X70" s="70">
        <f t="shared" si="87"/>
        <v>275</v>
      </c>
      <c r="Y70" s="70">
        <f t="shared" si="88"/>
        <v>73725</v>
      </c>
      <c r="Z70" s="172" t="s">
        <v>193</v>
      </c>
      <c r="AA70" s="67" t="s">
        <v>194</v>
      </c>
    </row>
    <row r="71" ht="21.75" customHeight="1" spans="1:27">
      <c r="A71" s="68">
        <v>62</v>
      </c>
      <c r="B71" s="69" t="s">
        <v>195</v>
      </c>
      <c r="C71" s="70" t="s">
        <v>82</v>
      </c>
      <c r="D71" s="71">
        <v>55120</v>
      </c>
      <c r="E71" s="71"/>
      <c r="F71" s="71">
        <f t="shared" si="76"/>
        <v>35953</v>
      </c>
      <c r="G71" s="71"/>
      <c r="H71" s="71">
        <f t="shared" ref="H71" si="90">F71+G71</f>
        <v>35953</v>
      </c>
      <c r="I71" s="72">
        <v>30</v>
      </c>
      <c r="J71" s="71">
        <f t="shared" si="77"/>
        <v>34793.2258064516</v>
      </c>
      <c r="K71" s="71">
        <f t="shared" si="78"/>
        <v>12981</v>
      </c>
      <c r="L71" s="71">
        <f t="shared" si="79"/>
        <v>5567</v>
      </c>
      <c r="M71" s="71"/>
      <c r="N71" s="71"/>
      <c r="O71" s="71"/>
      <c r="P71" s="70">
        <f t="shared" si="80"/>
        <v>53342</v>
      </c>
      <c r="Q71" s="71"/>
      <c r="R71" s="71">
        <v>0</v>
      </c>
      <c r="S71" s="70">
        <f t="shared" si="85"/>
        <v>200</v>
      </c>
      <c r="T71" s="70">
        <f t="shared" si="86"/>
        <v>75</v>
      </c>
      <c r="U71" s="70"/>
      <c r="V71" s="70"/>
      <c r="W71" s="70"/>
      <c r="X71" s="70">
        <f t="shared" si="87"/>
        <v>275</v>
      </c>
      <c r="Y71" s="70">
        <f t="shared" si="88"/>
        <v>53067</v>
      </c>
      <c r="Z71" s="172" t="s">
        <v>196</v>
      </c>
      <c r="AA71" s="67" t="s">
        <v>33</v>
      </c>
    </row>
    <row r="72" ht="21.75" customHeight="1" spans="1:27">
      <c r="A72" s="68">
        <v>63</v>
      </c>
      <c r="B72" s="69" t="s">
        <v>197</v>
      </c>
      <c r="C72" s="70" t="s">
        <v>61</v>
      </c>
      <c r="D72" s="71">
        <v>26000</v>
      </c>
      <c r="E72" s="71">
        <v>23000</v>
      </c>
      <c r="F72" s="71">
        <f t="shared" si="76"/>
        <v>16959</v>
      </c>
      <c r="G72" s="71"/>
      <c r="H72" s="71"/>
      <c r="I72" s="72">
        <v>31</v>
      </c>
      <c r="J72" s="71">
        <f t="shared" si="77"/>
        <v>16959</v>
      </c>
      <c r="K72" s="71">
        <f t="shared" si="78"/>
        <v>6327</v>
      </c>
      <c r="L72" s="71">
        <f t="shared" si="79"/>
        <v>2713</v>
      </c>
      <c r="M72" s="71"/>
      <c r="N72" s="71"/>
      <c r="O72" s="71"/>
      <c r="P72" s="70">
        <f t="shared" si="80"/>
        <v>25999</v>
      </c>
      <c r="Q72" s="70"/>
      <c r="R72" s="70"/>
      <c r="S72" s="70">
        <f t="shared" si="85"/>
        <v>200</v>
      </c>
      <c r="T72" s="70">
        <f t="shared" si="86"/>
        <v>75</v>
      </c>
      <c r="U72" s="70"/>
      <c r="V72" s="70"/>
      <c r="W72" s="70">
        <v>658</v>
      </c>
      <c r="X72" s="70">
        <f t="shared" si="87"/>
        <v>933</v>
      </c>
      <c r="Y72" s="70">
        <f t="shared" si="88"/>
        <v>25066</v>
      </c>
      <c r="Z72" s="172" t="s">
        <v>198</v>
      </c>
      <c r="AA72" s="67" t="s">
        <v>199</v>
      </c>
    </row>
    <row r="73" ht="21.75" customHeight="1" spans="1:27">
      <c r="A73" s="68">
        <v>64</v>
      </c>
      <c r="B73" s="69" t="s">
        <v>200</v>
      </c>
      <c r="C73" s="70" t="s">
        <v>61</v>
      </c>
      <c r="D73" s="71">
        <v>29000</v>
      </c>
      <c r="E73" s="71">
        <v>29000</v>
      </c>
      <c r="F73" s="71">
        <f t="shared" si="76"/>
        <v>18916</v>
      </c>
      <c r="G73" s="71"/>
      <c r="H73" s="71"/>
      <c r="I73" s="72">
        <v>31</v>
      </c>
      <c r="J73" s="71">
        <f t="shared" si="77"/>
        <v>18916</v>
      </c>
      <c r="K73" s="71">
        <f t="shared" si="78"/>
        <v>7058</v>
      </c>
      <c r="L73" s="71">
        <f t="shared" si="79"/>
        <v>3027</v>
      </c>
      <c r="M73" s="71"/>
      <c r="N73" s="71"/>
      <c r="O73" s="71"/>
      <c r="P73" s="70">
        <f t="shared" si="80"/>
        <v>29001</v>
      </c>
      <c r="Q73" s="71"/>
      <c r="R73" s="71"/>
      <c r="S73" s="70">
        <f t="shared" si="85"/>
        <v>200</v>
      </c>
      <c r="T73" s="70">
        <f t="shared" si="86"/>
        <v>75</v>
      </c>
      <c r="U73" s="70"/>
      <c r="V73" s="70"/>
      <c r="W73" s="70"/>
      <c r="X73" s="70">
        <f t="shared" si="87"/>
        <v>275</v>
      </c>
      <c r="Y73" s="70">
        <f t="shared" si="88"/>
        <v>28726</v>
      </c>
      <c r="Z73" s="172" t="s">
        <v>201</v>
      </c>
      <c r="AA73" s="67" t="s">
        <v>202</v>
      </c>
    </row>
    <row r="74" ht="21.75" customHeight="1" spans="1:27">
      <c r="A74" s="68">
        <v>65</v>
      </c>
      <c r="B74" s="69" t="s">
        <v>203</v>
      </c>
      <c r="C74" s="70" t="s">
        <v>61</v>
      </c>
      <c r="D74" s="71">
        <v>31000</v>
      </c>
      <c r="E74" s="71">
        <v>28000</v>
      </c>
      <c r="F74" s="71">
        <f t="shared" si="76"/>
        <v>20220</v>
      </c>
      <c r="G74" s="71"/>
      <c r="H74" s="71"/>
      <c r="I74" s="72">
        <v>31</v>
      </c>
      <c r="J74" s="71">
        <f t="shared" si="77"/>
        <v>20220</v>
      </c>
      <c r="K74" s="71">
        <f t="shared" si="78"/>
        <v>7544</v>
      </c>
      <c r="L74" s="71">
        <f t="shared" si="79"/>
        <v>3235</v>
      </c>
      <c r="M74" s="71"/>
      <c r="N74" s="71"/>
      <c r="O74" s="71"/>
      <c r="P74" s="70">
        <f t="shared" si="80"/>
        <v>30999</v>
      </c>
      <c r="Q74" s="71"/>
      <c r="R74" s="71"/>
      <c r="S74" s="70">
        <f t="shared" si="85"/>
        <v>200</v>
      </c>
      <c r="T74" s="70">
        <f t="shared" si="86"/>
        <v>75</v>
      </c>
      <c r="U74" s="70"/>
      <c r="V74" s="70"/>
      <c r="W74" s="70">
        <v>958</v>
      </c>
      <c r="X74" s="70">
        <f t="shared" si="87"/>
        <v>1233</v>
      </c>
      <c r="Y74" s="70">
        <f t="shared" si="88"/>
        <v>29766</v>
      </c>
      <c r="Z74" s="172" t="s">
        <v>204</v>
      </c>
      <c r="AA74" s="67" t="s">
        <v>205</v>
      </c>
    </row>
    <row r="75" ht="21.75" customHeight="1" spans="1:27">
      <c r="A75" s="68">
        <v>66</v>
      </c>
      <c r="B75" s="69" t="s">
        <v>206</v>
      </c>
      <c r="C75" s="70" t="s">
        <v>61</v>
      </c>
      <c r="D75" s="71">
        <v>30000</v>
      </c>
      <c r="E75" s="71">
        <v>27000</v>
      </c>
      <c r="F75" s="71">
        <f t="shared" si="76"/>
        <v>19568</v>
      </c>
      <c r="G75" s="71"/>
      <c r="H75" s="71"/>
      <c r="I75" s="72">
        <v>31</v>
      </c>
      <c r="J75" s="71">
        <f t="shared" si="77"/>
        <v>19568</v>
      </c>
      <c r="K75" s="71">
        <f t="shared" si="78"/>
        <v>7301</v>
      </c>
      <c r="L75" s="71">
        <f t="shared" si="79"/>
        <v>3131</v>
      </c>
      <c r="M75" s="71"/>
      <c r="N75" s="71"/>
      <c r="O75" s="71"/>
      <c r="P75" s="70">
        <f t="shared" si="80"/>
        <v>30000</v>
      </c>
      <c r="Q75" s="70"/>
      <c r="R75" s="70"/>
      <c r="S75" s="70">
        <f t="shared" si="85"/>
        <v>200</v>
      </c>
      <c r="T75" s="70">
        <f t="shared" si="86"/>
        <v>75</v>
      </c>
      <c r="U75" s="70"/>
      <c r="V75" s="70"/>
      <c r="W75" s="70"/>
      <c r="X75" s="70">
        <f t="shared" si="87"/>
        <v>275</v>
      </c>
      <c r="Y75" s="70">
        <f t="shared" si="88"/>
        <v>29725</v>
      </c>
      <c r="Z75" s="172" t="s">
        <v>207</v>
      </c>
      <c r="AA75" s="67" t="s">
        <v>45</v>
      </c>
    </row>
    <row r="76" ht="21.75" customHeight="1" spans="1:27">
      <c r="A76" s="68">
        <v>67</v>
      </c>
      <c r="B76" s="69" t="s">
        <v>208</v>
      </c>
      <c r="C76" s="70" t="s">
        <v>61</v>
      </c>
      <c r="D76" s="71">
        <v>62118</v>
      </c>
      <c r="E76" s="71"/>
      <c r="F76" s="71">
        <f t="shared" si="76"/>
        <v>40518</v>
      </c>
      <c r="G76" s="71"/>
      <c r="H76" s="71">
        <f t="shared" ref="H76" si="91">G76+F76</f>
        <v>40518</v>
      </c>
      <c r="I76" s="72">
        <v>31</v>
      </c>
      <c r="J76" s="71">
        <f t="shared" si="77"/>
        <v>40518</v>
      </c>
      <c r="K76" s="71">
        <f t="shared" si="78"/>
        <v>15117</v>
      </c>
      <c r="L76" s="71">
        <f t="shared" si="79"/>
        <v>6483</v>
      </c>
      <c r="M76" s="71"/>
      <c r="N76" s="71"/>
      <c r="O76" s="71"/>
      <c r="P76" s="70">
        <f t="shared" si="80"/>
        <v>62118</v>
      </c>
      <c r="Q76" s="71"/>
      <c r="R76" s="71"/>
      <c r="S76" s="70">
        <f t="shared" si="85"/>
        <v>200</v>
      </c>
      <c r="T76" s="70">
        <f t="shared" si="86"/>
        <v>75</v>
      </c>
      <c r="U76" s="70"/>
      <c r="V76" s="70"/>
      <c r="W76" s="70"/>
      <c r="X76" s="70">
        <f t="shared" si="87"/>
        <v>275</v>
      </c>
      <c r="Y76" s="70">
        <f t="shared" si="88"/>
        <v>61843</v>
      </c>
      <c r="Z76" s="172" t="s">
        <v>209</v>
      </c>
      <c r="AA76" s="67" t="s">
        <v>210</v>
      </c>
    </row>
    <row r="77" ht="21.75" customHeight="1" spans="1:27">
      <c r="A77" s="68">
        <v>68</v>
      </c>
      <c r="B77" s="69" t="s">
        <v>211</v>
      </c>
      <c r="C77" s="70" t="s">
        <v>61</v>
      </c>
      <c r="D77" s="70">
        <v>36102</v>
      </c>
      <c r="E77" s="70"/>
      <c r="F77" s="71">
        <f t="shared" si="76"/>
        <v>23548</v>
      </c>
      <c r="G77" s="71"/>
      <c r="H77" s="71">
        <f t="shared" ref="H77" si="92">G77+F77</f>
        <v>23548</v>
      </c>
      <c r="I77" s="72">
        <v>24</v>
      </c>
      <c r="J77" s="71">
        <f t="shared" si="77"/>
        <v>18230.7096774194</v>
      </c>
      <c r="K77" s="71">
        <f t="shared" si="78"/>
        <v>6802</v>
      </c>
      <c r="L77" s="71">
        <f t="shared" si="79"/>
        <v>2917</v>
      </c>
      <c r="M77" s="71"/>
      <c r="N77" s="71"/>
      <c r="O77" s="71"/>
      <c r="P77" s="70">
        <f t="shared" si="80"/>
        <v>27950</v>
      </c>
      <c r="Q77" s="71"/>
      <c r="R77" s="71"/>
      <c r="S77" s="70">
        <f t="shared" si="85"/>
        <v>200</v>
      </c>
      <c r="T77" s="70">
        <f t="shared" si="86"/>
        <v>75</v>
      </c>
      <c r="U77" s="70"/>
      <c r="V77" s="70"/>
      <c r="W77" s="70"/>
      <c r="X77" s="70">
        <f t="shared" si="87"/>
        <v>275</v>
      </c>
      <c r="Y77" s="70">
        <f t="shared" si="88"/>
        <v>27675</v>
      </c>
      <c r="Z77" s="172" t="s">
        <v>212</v>
      </c>
      <c r="AA77" s="176" t="s">
        <v>213</v>
      </c>
    </row>
    <row r="78" ht="21.75" customHeight="1" spans="1:27">
      <c r="A78" s="68">
        <v>69</v>
      </c>
      <c r="B78" s="69" t="s">
        <v>214</v>
      </c>
      <c r="C78" s="70" t="s">
        <v>61</v>
      </c>
      <c r="D78" s="71">
        <v>42000</v>
      </c>
      <c r="E78" s="71">
        <v>42000</v>
      </c>
      <c r="F78" s="71">
        <f t="shared" si="76"/>
        <v>27395</v>
      </c>
      <c r="G78" s="71"/>
      <c r="H78" s="71"/>
      <c r="I78" s="72">
        <v>30</v>
      </c>
      <c r="J78" s="71">
        <f t="shared" si="77"/>
        <v>26511.2903225806</v>
      </c>
      <c r="K78" s="71">
        <f t="shared" si="78"/>
        <v>9891</v>
      </c>
      <c r="L78" s="71">
        <f t="shared" si="79"/>
        <v>4242</v>
      </c>
      <c r="M78" s="71"/>
      <c r="N78" s="71"/>
      <c r="O78" s="71"/>
      <c r="P78" s="70">
        <f t="shared" si="80"/>
        <v>40645</v>
      </c>
      <c r="Q78" s="70"/>
      <c r="R78" s="70"/>
      <c r="S78" s="70">
        <f t="shared" si="85"/>
        <v>200</v>
      </c>
      <c r="T78" s="70">
        <f t="shared" si="86"/>
        <v>75</v>
      </c>
      <c r="U78" s="70"/>
      <c r="V78" s="70"/>
      <c r="W78" s="70"/>
      <c r="X78" s="70">
        <f t="shared" si="87"/>
        <v>275</v>
      </c>
      <c r="Y78" s="70">
        <f t="shared" si="88"/>
        <v>40370</v>
      </c>
      <c r="Z78" s="177" t="s">
        <v>215</v>
      </c>
      <c r="AA78" s="95" t="s">
        <v>216</v>
      </c>
    </row>
    <row r="79" ht="21.75" customHeight="1" spans="1:27">
      <c r="A79" s="68">
        <v>70</v>
      </c>
      <c r="B79" s="69" t="s">
        <v>217</v>
      </c>
      <c r="C79" s="70" t="s">
        <v>218</v>
      </c>
      <c r="D79" s="71">
        <v>25000</v>
      </c>
      <c r="E79" s="71">
        <v>22000</v>
      </c>
      <c r="F79" s="71">
        <f t="shared" si="76"/>
        <v>16307</v>
      </c>
      <c r="G79" s="71"/>
      <c r="H79" s="71"/>
      <c r="I79" s="72">
        <v>30</v>
      </c>
      <c r="J79" s="71">
        <f t="shared" si="77"/>
        <v>15780.9677419355</v>
      </c>
      <c r="K79" s="71">
        <f t="shared" si="78"/>
        <v>5888</v>
      </c>
      <c r="L79" s="71">
        <f t="shared" si="79"/>
        <v>2525</v>
      </c>
      <c r="M79" s="71"/>
      <c r="N79" s="71"/>
      <c r="O79" s="71"/>
      <c r="P79" s="70">
        <f t="shared" si="80"/>
        <v>24194</v>
      </c>
      <c r="Q79" s="70"/>
      <c r="R79" s="70"/>
      <c r="S79" s="70">
        <f t="shared" si="85"/>
        <v>200</v>
      </c>
      <c r="T79" s="70">
        <f t="shared" si="86"/>
        <v>75</v>
      </c>
      <c r="U79" s="70"/>
      <c r="V79" s="70"/>
      <c r="W79" s="70"/>
      <c r="X79" s="70">
        <f t="shared" si="87"/>
        <v>275</v>
      </c>
      <c r="Y79" s="70">
        <f t="shared" si="88"/>
        <v>23919</v>
      </c>
      <c r="Z79" s="177" t="s">
        <v>219</v>
      </c>
      <c r="AA79" s="95" t="s">
        <v>220</v>
      </c>
    </row>
    <row r="80" ht="21.75" customHeight="1" spans="1:27">
      <c r="A80" s="68">
        <v>71</v>
      </c>
      <c r="B80" s="69" t="s">
        <v>221</v>
      </c>
      <c r="C80" s="70" t="s">
        <v>61</v>
      </c>
      <c r="D80" s="71">
        <v>85000</v>
      </c>
      <c r="E80" s="71"/>
      <c r="F80" s="71">
        <f t="shared" si="76"/>
        <v>55443</v>
      </c>
      <c r="G80" s="71"/>
      <c r="H80" s="71">
        <f>F80+G80</f>
        <v>55443</v>
      </c>
      <c r="I80" s="72">
        <v>31</v>
      </c>
      <c r="J80" s="71">
        <f t="shared" si="77"/>
        <v>55443</v>
      </c>
      <c r="K80" s="71">
        <f t="shared" si="78"/>
        <v>20686</v>
      </c>
      <c r="L80" s="71">
        <f t="shared" si="79"/>
        <v>8871</v>
      </c>
      <c r="M80" s="71"/>
      <c r="N80" s="71"/>
      <c r="O80" s="71"/>
      <c r="P80" s="70">
        <f t="shared" si="80"/>
        <v>85000</v>
      </c>
      <c r="Q80" s="71">
        <v>3600</v>
      </c>
      <c r="R80" s="71"/>
      <c r="S80" s="70">
        <f t="shared" si="85"/>
        <v>200</v>
      </c>
      <c r="T80" s="70">
        <f t="shared" si="86"/>
        <v>75</v>
      </c>
      <c r="U80" s="70"/>
      <c r="V80" s="70"/>
      <c r="W80" s="70"/>
      <c r="X80" s="70">
        <f t="shared" si="87"/>
        <v>3875</v>
      </c>
      <c r="Y80" s="70">
        <f t="shared" si="88"/>
        <v>81125</v>
      </c>
      <c r="Z80" s="177" t="s">
        <v>222</v>
      </c>
      <c r="AA80" s="95" t="s">
        <v>223</v>
      </c>
    </row>
    <row r="81" ht="21.75" customHeight="1" spans="1:28">
      <c r="A81" s="68">
        <v>72</v>
      </c>
      <c r="B81" s="69" t="s">
        <v>224</v>
      </c>
      <c r="C81" s="70" t="s">
        <v>225</v>
      </c>
      <c r="D81" s="71">
        <v>31000</v>
      </c>
      <c r="E81" s="71">
        <v>38945</v>
      </c>
      <c r="F81" s="71">
        <f t="shared" si="76"/>
        <v>20220</v>
      </c>
      <c r="G81" s="71"/>
      <c r="H81" s="71">
        <f>G81+F81</f>
        <v>20220</v>
      </c>
      <c r="I81" s="72">
        <v>30.5</v>
      </c>
      <c r="J81" s="71">
        <f t="shared" si="77"/>
        <v>19893.8709677419</v>
      </c>
      <c r="K81" s="71">
        <f t="shared" si="78"/>
        <v>7422</v>
      </c>
      <c r="L81" s="71">
        <f t="shared" si="79"/>
        <v>3183</v>
      </c>
      <c r="M81" s="71"/>
      <c r="N81" s="71"/>
      <c r="O81" s="71"/>
      <c r="P81" s="70">
        <f t="shared" si="80"/>
        <v>30499</v>
      </c>
      <c r="Q81" s="71"/>
      <c r="R81" s="71">
        <v>0</v>
      </c>
      <c r="S81" s="70">
        <f t="shared" si="85"/>
        <v>200</v>
      </c>
      <c r="T81" s="70">
        <f t="shared" si="86"/>
        <v>75</v>
      </c>
      <c r="U81" s="70"/>
      <c r="V81" s="70"/>
      <c r="W81" s="70"/>
      <c r="X81" s="70">
        <f t="shared" si="87"/>
        <v>275</v>
      </c>
      <c r="Y81" s="70">
        <f t="shared" si="88"/>
        <v>30224</v>
      </c>
      <c r="Z81" s="172" t="s">
        <v>226</v>
      </c>
      <c r="AA81" s="67" t="s">
        <v>227</v>
      </c>
    </row>
    <row r="82" ht="21.75" customHeight="1" spans="1:28">
      <c r="A82" s="68">
        <v>73</v>
      </c>
      <c r="B82" s="69" t="s">
        <v>228</v>
      </c>
      <c r="C82" s="70" t="s">
        <v>218</v>
      </c>
      <c r="D82" s="70">
        <v>18000</v>
      </c>
      <c r="E82" s="70">
        <v>18000</v>
      </c>
      <c r="F82" s="71">
        <f t="shared" si="76"/>
        <v>11741</v>
      </c>
      <c r="G82" s="71"/>
      <c r="H82" s="71"/>
      <c r="I82" s="72">
        <v>31</v>
      </c>
      <c r="J82" s="71">
        <f t="shared" si="77"/>
        <v>11741</v>
      </c>
      <c r="K82" s="71">
        <f t="shared" si="78"/>
        <v>4381</v>
      </c>
      <c r="L82" s="71">
        <f t="shared" si="79"/>
        <v>1879</v>
      </c>
      <c r="M82" s="71"/>
      <c r="N82" s="71"/>
      <c r="O82" s="71"/>
      <c r="P82" s="70">
        <f t="shared" si="80"/>
        <v>18001</v>
      </c>
      <c r="Q82" s="70"/>
      <c r="R82" s="70"/>
      <c r="S82" s="70">
        <f t="shared" si="85"/>
        <v>150</v>
      </c>
      <c r="T82" s="70">
        <f t="shared" si="86"/>
        <v>75</v>
      </c>
      <c r="U82" s="70"/>
      <c r="V82" s="70"/>
      <c r="W82" s="70"/>
      <c r="X82" s="70">
        <f t="shared" ref="X82:X83" si="93">SUM(Q82:W82)</f>
        <v>225</v>
      </c>
      <c r="Y82" s="70">
        <f t="shared" ref="Y82:Y83" si="94">P82-X82</f>
        <v>17776</v>
      </c>
      <c r="Z82" s="177" t="s">
        <v>229</v>
      </c>
      <c r="AA82" s="95" t="s">
        <v>230</v>
      </c>
    </row>
    <row r="83" ht="21.75" customHeight="1" spans="1:28">
      <c r="A83" s="68">
        <v>74</v>
      </c>
      <c r="B83" s="69" t="s">
        <v>231</v>
      </c>
      <c r="C83" s="70" t="s">
        <v>218</v>
      </c>
      <c r="D83" s="70">
        <v>18000</v>
      </c>
      <c r="E83" s="70">
        <v>18000</v>
      </c>
      <c r="F83" s="71">
        <f t="shared" si="76"/>
        <v>11741</v>
      </c>
      <c r="G83" s="71"/>
      <c r="H83" s="71"/>
      <c r="I83" s="72">
        <v>28.5</v>
      </c>
      <c r="J83" s="71">
        <f t="shared" si="77"/>
        <v>10794.1451612903</v>
      </c>
      <c r="K83" s="71">
        <f t="shared" si="78"/>
        <v>4027</v>
      </c>
      <c r="L83" s="71">
        <f t="shared" si="79"/>
        <v>1727</v>
      </c>
      <c r="M83" s="71"/>
      <c r="N83" s="71"/>
      <c r="O83" s="71"/>
      <c r="P83" s="70">
        <f t="shared" si="80"/>
        <v>16549</v>
      </c>
      <c r="Q83" s="70"/>
      <c r="R83" s="70"/>
      <c r="S83" s="70">
        <f t="shared" si="85"/>
        <v>150</v>
      </c>
      <c r="T83" s="70">
        <f t="shared" si="86"/>
        <v>75</v>
      </c>
      <c r="U83" s="70"/>
      <c r="V83" s="70"/>
      <c r="W83" s="70">
        <v>2000</v>
      </c>
      <c r="X83" s="70">
        <f t="shared" si="93"/>
        <v>2225</v>
      </c>
      <c r="Y83" s="70">
        <f t="shared" si="94"/>
        <v>14324</v>
      </c>
      <c r="Z83" s="177" t="s">
        <v>232</v>
      </c>
      <c r="AA83" s="95" t="s">
        <v>233</v>
      </c>
    </row>
    <row r="84" ht="21.75" customHeight="1" spans="1:28">
      <c r="A84" s="68">
        <v>75</v>
      </c>
      <c r="B84" s="69" t="s">
        <v>234</v>
      </c>
      <c r="C84" s="70" t="s">
        <v>218</v>
      </c>
      <c r="D84" s="70">
        <v>18000</v>
      </c>
      <c r="E84" s="70">
        <v>18000</v>
      </c>
      <c r="F84" s="71">
        <f t="shared" ref="F84:F86" si="95">ROUND(D84/1.5331,0)</f>
        <v>11741</v>
      </c>
      <c r="G84" s="71"/>
      <c r="H84" s="71"/>
      <c r="I84" s="72">
        <v>30.5</v>
      </c>
      <c r="J84" s="71">
        <f t="shared" si="77"/>
        <v>11551.6290322581</v>
      </c>
      <c r="K84" s="71">
        <f t="shared" ref="K84:K86" si="96">ROUND(J84*37.31%,0)</f>
        <v>4310</v>
      </c>
      <c r="L84" s="71">
        <f t="shared" ref="L84:L86" si="97">ROUND(J84*16%,0)</f>
        <v>1848</v>
      </c>
      <c r="M84" s="71"/>
      <c r="N84" s="71"/>
      <c r="O84" s="71"/>
      <c r="P84" s="70">
        <f t="shared" ref="P84:P86" si="98">ROUNDUP(J84+K84+L84+M84+N84+O84,0)</f>
        <v>17710</v>
      </c>
      <c r="Q84" s="70"/>
      <c r="R84" s="70"/>
      <c r="S84" s="70">
        <f t="shared" ref="S84:S86" si="99">IF(P84&gt;20001,200,IF(P84&gt;15001,150,IF(P84&lt;15000,0,)))</f>
        <v>150</v>
      </c>
      <c r="T84" s="70">
        <f t="shared" ref="T84:T86" si="100">IF(P84,IF(1,75),IF(1,0))</f>
        <v>75</v>
      </c>
      <c r="U84" s="70"/>
      <c r="V84" s="70"/>
      <c r="W84" s="70"/>
      <c r="X84" s="70">
        <f t="shared" ref="X84:X86" si="101">SUM(Q84:W84)</f>
        <v>225</v>
      </c>
      <c r="Y84" s="70">
        <f t="shared" ref="Y84:Y86" si="102">P84-X84</f>
        <v>17485</v>
      </c>
      <c r="Z84" s="75" t="s">
        <v>235</v>
      </c>
      <c r="AA84" s="67" t="s">
        <v>236</v>
      </c>
    </row>
    <row r="85" ht="21.75" customHeight="1" spans="1:28">
      <c r="A85" s="68">
        <v>76</v>
      </c>
      <c r="B85" s="69" t="s">
        <v>237</v>
      </c>
      <c r="C85" s="70" t="s">
        <v>218</v>
      </c>
      <c r="D85" s="70">
        <v>18000</v>
      </c>
      <c r="E85" s="70">
        <v>18000</v>
      </c>
      <c r="F85" s="71">
        <f t="shared" si="95"/>
        <v>11741</v>
      </c>
      <c r="G85" s="71"/>
      <c r="H85" s="71"/>
      <c r="I85" s="72">
        <v>23</v>
      </c>
      <c r="J85" s="71">
        <f t="shared" si="77"/>
        <v>8711.06451612903</v>
      </c>
      <c r="K85" s="71">
        <f t="shared" si="96"/>
        <v>3250</v>
      </c>
      <c r="L85" s="71">
        <f t="shared" si="97"/>
        <v>1394</v>
      </c>
      <c r="M85" s="71"/>
      <c r="N85" s="71"/>
      <c r="O85" s="71"/>
      <c r="P85" s="70">
        <f t="shared" si="98"/>
        <v>13356</v>
      </c>
      <c r="Q85" s="70"/>
      <c r="R85" s="70"/>
      <c r="S85" s="70">
        <f t="shared" si="99"/>
        <v>0</v>
      </c>
      <c r="T85" s="70">
        <f t="shared" si="100"/>
        <v>75</v>
      </c>
      <c r="U85" s="70"/>
      <c r="V85" s="70"/>
      <c r="W85" s="70"/>
      <c r="X85" s="70">
        <f t="shared" si="101"/>
        <v>75</v>
      </c>
      <c r="Y85" s="70">
        <f t="shared" si="102"/>
        <v>13281</v>
      </c>
      <c r="Z85" s="172" t="s">
        <v>238</v>
      </c>
      <c r="AA85" s="67" t="s">
        <v>239</v>
      </c>
      <c r="AB85" s="49" t="s">
        <v>240</v>
      </c>
    </row>
    <row r="86" ht="21.75" customHeight="1" spans="1:28">
      <c r="A86" s="68">
        <v>77</v>
      </c>
      <c r="B86" s="69" t="s">
        <v>241</v>
      </c>
      <c r="C86" s="70" t="s">
        <v>218</v>
      </c>
      <c r="D86" s="70">
        <v>18000</v>
      </c>
      <c r="E86" s="70">
        <v>18000</v>
      </c>
      <c r="F86" s="71">
        <f t="shared" si="95"/>
        <v>11741</v>
      </c>
      <c r="G86" s="71"/>
      <c r="H86" s="71"/>
      <c r="I86" s="72">
        <v>12</v>
      </c>
      <c r="J86" s="71">
        <f t="shared" si="77"/>
        <v>4544.90322580645</v>
      </c>
      <c r="K86" s="71">
        <f t="shared" si="96"/>
        <v>1696</v>
      </c>
      <c r="L86" s="71">
        <f t="shared" si="97"/>
        <v>727</v>
      </c>
      <c r="M86" s="71"/>
      <c r="N86" s="71"/>
      <c r="O86" s="71"/>
      <c r="P86" s="70">
        <f t="shared" si="98"/>
        <v>6968</v>
      </c>
      <c r="Q86" s="70"/>
      <c r="R86" s="70"/>
      <c r="S86" s="70">
        <f t="shared" si="99"/>
        <v>0</v>
      </c>
      <c r="T86" s="70">
        <f t="shared" si="100"/>
        <v>75</v>
      </c>
      <c r="U86" s="70"/>
      <c r="V86" s="70"/>
      <c r="W86" s="70"/>
      <c r="X86" s="70">
        <f t="shared" si="101"/>
        <v>75</v>
      </c>
      <c r="Y86" s="70">
        <f t="shared" si="102"/>
        <v>6893</v>
      </c>
      <c r="Z86" s="172" t="s">
        <v>242</v>
      </c>
      <c r="AA86" s="67" t="s">
        <v>243</v>
      </c>
      <c r="AB86" s="49" t="s">
        <v>244</v>
      </c>
    </row>
    <row r="87" ht="14.5" spans="1:28">
      <c r="A87" s="68"/>
      <c r="B87" s="84" t="s">
        <v>245</v>
      </c>
      <c r="C87" s="70"/>
      <c r="D87" s="71"/>
      <c r="E87" s="71"/>
      <c r="F87" s="71">
        <f t="shared" ref="F87:F124" si="103">ROUND(D87/1.5331,0)</f>
        <v>0</v>
      </c>
      <c r="G87" s="71"/>
      <c r="H87" s="71"/>
      <c r="I87" s="72"/>
      <c r="J87" s="71">
        <f t="shared" ref="J87:J125" si="104">F87/I$4*I87</f>
        <v>0</v>
      </c>
      <c r="K87" s="71">
        <f t="shared" ref="K87:K125" si="105">ROUND(J87*37.31%,0)</f>
        <v>0</v>
      </c>
      <c r="L87" s="71">
        <f t="shared" ref="L87:L125" si="106">ROUND(J87*16%,0)</f>
        <v>0</v>
      </c>
      <c r="M87" s="71"/>
      <c r="N87" s="71"/>
      <c r="O87" s="71"/>
      <c r="P87" s="70">
        <f t="shared" ref="P87:P125" si="107">ROUNDUP(J87+K87+L87+M87+N87+O87,0)</f>
        <v>0</v>
      </c>
      <c r="Q87" s="70"/>
      <c r="R87" s="70"/>
      <c r="S87" s="70"/>
      <c r="T87" s="70"/>
      <c r="U87" s="70"/>
      <c r="V87" s="70"/>
      <c r="W87" s="70"/>
      <c r="X87" s="70"/>
      <c r="Y87" s="70"/>
      <c r="Z87" s="75"/>
      <c r="AA87" s="67"/>
    </row>
    <row r="88" ht="24.95" customHeight="1" spans="1:28">
      <c r="A88" s="68">
        <v>78</v>
      </c>
      <c r="B88" s="69" t="s">
        <v>246</v>
      </c>
      <c r="C88" s="70" t="s">
        <v>247</v>
      </c>
      <c r="D88" s="71">
        <v>101344</v>
      </c>
      <c r="E88" s="71"/>
      <c r="F88" s="71">
        <f t="shared" si="103"/>
        <v>66104</v>
      </c>
      <c r="G88" s="71"/>
      <c r="H88" s="71">
        <f>G88+F88</f>
        <v>66104</v>
      </c>
      <c r="I88" s="72">
        <v>31</v>
      </c>
      <c r="J88" s="71">
        <f t="shared" si="104"/>
        <v>66104</v>
      </c>
      <c r="K88" s="71">
        <f t="shared" si="105"/>
        <v>24663</v>
      </c>
      <c r="L88" s="71">
        <f t="shared" si="106"/>
        <v>10577</v>
      </c>
      <c r="M88" s="71"/>
      <c r="N88" s="71"/>
      <c r="O88" s="71"/>
      <c r="P88" s="70">
        <f t="shared" si="107"/>
        <v>101344</v>
      </c>
      <c r="Q88" s="71"/>
      <c r="R88" s="71"/>
      <c r="S88" s="70">
        <f>IF(P88&gt;20001,200,IF(P88&gt;15001,150,IF(P88&lt;15000,0,)))</f>
        <v>200</v>
      </c>
      <c r="T88" s="70">
        <f>IF(P88,IF(1,75),IF(1,0))</f>
        <v>75</v>
      </c>
      <c r="U88" s="70"/>
      <c r="V88" s="70"/>
      <c r="W88" s="70"/>
      <c r="X88" s="70">
        <f t="shared" ref="X88:X95" si="108">SUM(Q88:W88)</f>
        <v>275</v>
      </c>
      <c r="Y88" s="70">
        <f t="shared" ref="Y88:Y95" si="109">P88-X88</f>
        <v>101069</v>
      </c>
      <c r="Z88" s="172" t="s">
        <v>248</v>
      </c>
      <c r="AA88" s="67" t="s">
        <v>33</v>
      </c>
    </row>
    <row r="89" ht="24.95" customHeight="1" spans="1:28">
      <c r="A89" s="68">
        <v>79</v>
      </c>
      <c r="B89" s="69" t="s">
        <v>249</v>
      </c>
      <c r="C89" s="70" t="s">
        <v>74</v>
      </c>
      <c r="D89" s="71">
        <v>83030</v>
      </c>
      <c r="E89" s="71"/>
      <c r="F89" s="71">
        <f t="shared" si="103"/>
        <v>54158</v>
      </c>
      <c r="G89" s="71"/>
      <c r="H89" s="71">
        <f>G89+F89</f>
        <v>54158</v>
      </c>
      <c r="I89" s="72">
        <v>31</v>
      </c>
      <c r="J89" s="71">
        <f t="shared" si="104"/>
        <v>54158</v>
      </c>
      <c r="K89" s="71">
        <f t="shared" si="105"/>
        <v>20206</v>
      </c>
      <c r="L89" s="71">
        <f t="shared" si="106"/>
        <v>8665</v>
      </c>
      <c r="M89" s="71"/>
      <c r="N89" s="71"/>
      <c r="O89" s="71"/>
      <c r="P89" s="70">
        <f t="shared" si="107"/>
        <v>83029</v>
      </c>
      <c r="Q89" s="71"/>
      <c r="R89" s="71"/>
      <c r="S89" s="70">
        <f>IF(P89&gt;20001,200,IF(P89&gt;15001,150,IF(P89&lt;15000,0,)))</f>
        <v>200</v>
      </c>
      <c r="T89" s="70">
        <f>IF(P89,IF(1,75),IF(1,0))</f>
        <v>75</v>
      </c>
      <c r="U89" s="70"/>
      <c r="V89" s="70"/>
      <c r="W89" s="70"/>
      <c r="X89" s="70">
        <f t="shared" si="108"/>
        <v>275</v>
      </c>
      <c r="Y89" s="70">
        <f t="shared" si="109"/>
        <v>82754</v>
      </c>
      <c r="Z89" s="172" t="s">
        <v>250</v>
      </c>
      <c r="AA89" s="67" t="s">
        <v>251</v>
      </c>
    </row>
    <row r="90" ht="24.95" customHeight="1" spans="1:28">
      <c r="A90" s="68">
        <v>80</v>
      </c>
      <c r="B90" s="69" t="s">
        <v>252</v>
      </c>
      <c r="C90" s="70" t="s">
        <v>55</v>
      </c>
      <c r="D90" s="71">
        <v>80051</v>
      </c>
      <c r="E90" s="71"/>
      <c r="F90" s="71">
        <f t="shared" si="103"/>
        <v>52215</v>
      </c>
      <c r="G90" s="71"/>
      <c r="H90" s="71">
        <f>G90+F90</f>
        <v>52215</v>
      </c>
      <c r="I90" s="72">
        <v>31</v>
      </c>
      <c r="J90" s="71">
        <f t="shared" si="104"/>
        <v>52215</v>
      </c>
      <c r="K90" s="71">
        <f t="shared" si="105"/>
        <v>19481</v>
      </c>
      <c r="L90" s="71">
        <f t="shared" si="106"/>
        <v>8354</v>
      </c>
      <c r="M90" s="71"/>
      <c r="N90" s="71"/>
      <c r="O90" s="71"/>
      <c r="P90" s="70">
        <f t="shared" si="107"/>
        <v>80050</v>
      </c>
      <c r="Q90" s="71"/>
      <c r="R90" s="71"/>
      <c r="S90" s="70">
        <f>IF(P90&gt;20001,200,IF(P90&gt;15001,150,IF(P90&lt;15000,0,)))</f>
        <v>200</v>
      </c>
      <c r="T90" s="70">
        <f>IF(P90,IF(1,75),IF(1,0))</f>
        <v>75</v>
      </c>
      <c r="U90" s="70"/>
      <c r="V90" s="70"/>
      <c r="W90" s="70"/>
      <c r="X90" s="70">
        <f t="shared" si="108"/>
        <v>275</v>
      </c>
      <c r="Y90" s="70">
        <f t="shared" si="109"/>
        <v>79775</v>
      </c>
      <c r="Z90" s="172" t="s">
        <v>253</v>
      </c>
      <c r="AA90" s="67" t="s">
        <v>254</v>
      </c>
    </row>
    <row r="91" ht="24.95" customHeight="1" spans="1:28">
      <c r="A91" s="68">
        <v>81</v>
      </c>
      <c r="B91" s="69" t="s">
        <v>255</v>
      </c>
      <c r="C91" s="70" t="s">
        <v>61</v>
      </c>
      <c r="D91" s="71">
        <v>43075</v>
      </c>
      <c r="E91" s="71"/>
      <c r="F91" s="71">
        <f t="shared" si="103"/>
        <v>28097</v>
      </c>
      <c r="G91" s="71"/>
      <c r="H91" s="71">
        <f t="shared" ref="H91" si="110">G91+F91</f>
        <v>28097</v>
      </c>
      <c r="I91" s="72">
        <v>31</v>
      </c>
      <c r="J91" s="71">
        <f t="shared" si="104"/>
        <v>28097</v>
      </c>
      <c r="K91" s="71">
        <f t="shared" si="105"/>
        <v>10483</v>
      </c>
      <c r="L91" s="71">
        <f t="shared" si="106"/>
        <v>4496</v>
      </c>
      <c r="M91" s="71"/>
      <c r="N91" s="71"/>
      <c r="O91" s="71"/>
      <c r="P91" s="70">
        <f t="shared" si="107"/>
        <v>43076</v>
      </c>
      <c r="Q91" s="71"/>
      <c r="R91" s="71"/>
      <c r="S91" s="70">
        <f t="shared" ref="S91:S95" si="111">IF(P91&gt;20001,200,IF(P91&gt;15001,150,IF(P91&lt;15000,0,)))</f>
        <v>200</v>
      </c>
      <c r="T91" s="70">
        <f t="shared" ref="T91:T95" si="112">IF(P91,IF(1,75),IF(1,0))</f>
        <v>75</v>
      </c>
      <c r="U91" s="70"/>
      <c r="V91" s="70"/>
      <c r="W91" s="70">
        <v>2625</v>
      </c>
      <c r="X91" s="70">
        <f t="shared" si="108"/>
        <v>2900</v>
      </c>
      <c r="Y91" s="70">
        <f t="shared" si="109"/>
        <v>40176</v>
      </c>
      <c r="Z91" s="172" t="s">
        <v>256</v>
      </c>
      <c r="AA91" s="67" t="s">
        <v>80</v>
      </c>
    </row>
    <row r="92" ht="24.95" customHeight="1" spans="1:28">
      <c r="A92" s="68">
        <v>82</v>
      </c>
      <c r="B92" s="69" t="s">
        <v>257</v>
      </c>
      <c r="C92" s="70" t="s">
        <v>258</v>
      </c>
      <c r="D92" s="71">
        <v>35000</v>
      </c>
      <c r="E92" s="71">
        <v>35000</v>
      </c>
      <c r="F92" s="71">
        <f t="shared" si="103"/>
        <v>22830</v>
      </c>
      <c r="G92" s="71"/>
      <c r="H92" s="71"/>
      <c r="I92" s="72">
        <v>31</v>
      </c>
      <c r="J92" s="71">
        <f t="shared" si="104"/>
        <v>22830</v>
      </c>
      <c r="K92" s="71">
        <f t="shared" si="105"/>
        <v>8518</v>
      </c>
      <c r="L92" s="71">
        <f t="shared" si="106"/>
        <v>3653</v>
      </c>
      <c r="M92" s="71"/>
      <c r="N92" s="71"/>
      <c r="O92" s="71"/>
      <c r="P92" s="70">
        <f t="shared" si="107"/>
        <v>35001</v>
      </c>
      <c r="Q92" s="71"/>
      <c r="R92" s="71"/>
      <c r="S92" s="70">
        <f t="shared" si="111"/>
        <v>200</v>
      </c>
      <c r="T92" s="70">
        <f t="shared" si="112"/>
        <v>75</v>
      </c>
      <c r="U92" s="70"/>
      <c r="V92" s="70"/>
      <c r="W92" s="70"/>
      <c r="X92" s="70">
        <f t="shared" si="108"/>
        <v>275</v>
      </c>
      <c r="Y92" s="70">
        <f t="shared" si="109"/>
        <v>34726</v>
      </c>
      <c r="Z92" s="172" t="s">
        <v>259</v>
      </c>
      <c r="AA92" s="67" t="s">
        <v>33</v>
      </c>
    </row>
    <row r="93" s="43" customFormat="1" ht="24.95" customHeight="1" spans="1:28">
      <c r="A93" s="68">
        <v>83</v>
      </c>
      <c r="B93" s="97" t="s">
        <v>260</v>
      </c>
      <c r="C93" s="98" t="s">
        <v>61</v>
      </c>
      <c r="D93" s="99">
        <v>50127</v>
      </c>
      <c r="E93" s="99"/>
      <c r="F93" s="99">
        <f t="shared" si="103"/>
        <v>32696</v>
      </c>
      <c r="G93" s="99"/>
      <c r="H93" s="99">
        <f t="shared" ref="H93" si="113">G93+F93</f>
        <v>32696</v>
      </c>
      <c r="I93" s="100">
        <v>31</v>
      </c>
      <c r="J93" s="99">
        <f t="shared" si="104"/>
        <v>32696</v>
      </c>
      <c r="K93" s="99">
        <f t="shared" si="105"/>
        <v>12199</v>
      </c>
      <c r="L93" s="99">
        <f t="shared" si="106"/>
        <v>5231</v>
      </c>
      <c r="M93" s="99"/>
      <c r="N93" s="99"/>
      <c r="O93" s="99"/>
      <c r="P93" s="98">
        <f t="shared" si="107"/>
        <v>50126</v>
      </c>
      <c r="Q93" s="98"/>
      <c r="R93" s="98"/>
      <c r="S93" s="98">
        <f t="shared" si="111"/>
        <v>200</v>
      </c>
      <c r="T93" s="98">
        <f t="shared" si="112"/>
        <v>75</v>
      </c>
      <c r="U93" s="98"/>
      <c r="V93" s="98"/>
      <c r="W93" s="98">
        <v>958</v>
      </c>
      <c r="X93" s="98">
        <f t="shared" si="108"/>
        <v>1233</v>
      </c>
      <c r="Y93" s="98">
        <f t="shared" si="109"/>
        <v>48893</v>
      </c>
      <c r="Z93" s="101">
        <v>30040884986</v>
      </c>
      <c r="AA93" s="102" t="s">
        <v>261</v>
      </c>
    </row>
    <row r="94" ht="24.95" customHeight="1" spans="1:28">
      <c r="A94" s="68">
        <v>84</v>
      </c>
      <c r="B94" s="69" t="s">
        <v>262</v>
      </c>
      <c r="C94" s="70" t="s">
        <v>61</v>
      </c>
      <c r="D94" s="71">
        <v>34000</v>
      </c>
      <c r="E94" s="71">
        <v>30000</v>
      </c>
      <c r="F94" s="71">
        <f t="shared" si="103"/>
        <v>22177</v>
      </c>
      <c r="G94" s="71"/>
      <c r="H94" s="71"/>
      <c r="I94" s="72">
        <v>31</v>
      </c>
      <c r="J94" s="71">
        <f t="shared" si="104"/>
        <v>22177</v>
      </c>
      <c r="K94" s="71">
        <f t="shared" si="105"/>
        <v>8274</v>
      </c>
      <c r="L94" s="71">
        <f t="shared" si="106"/>
        <v>3548</v>
      </c>
      <c r="M94" s="71"/>
      <c r="N94" s="71"/>
      <c r="O94" s="71"/>
      <c r="P94" s="70">
        <f t="shared" si="107"/>
        <v>33999</v>
      </c>
      <c r="Q94" s="71"/>
      <c r="R94" s="71"/>
      <c r="S94" s="70">
        <f t="shared" si="111"/>
        <v>200</v>
      </c>
      <c r="T94" s="70">
        <f t="shared" si="112"/>
        <v>75</v>
      </c>
      <c r="U94" s="71"/>
      <c r="V94" s="71"/>
      <c r="W94" s="70"/>
      <c r="X94" s="70">
        <f t="shared" si="108"/>
        <v>275</v>
      </c>
      <c r="Y94" s="71">
        <f t="shared" si="109"/>
        <v>33724</v>
      </c>
      <c r="Z94" s="172" t="s">
        <v>263</v>
      </c>
      <c r="AA94" s="67" t="s">
        <v>264</v>
      </c>
    </row>
    <row r="95" ht="24.95" customHeight="1" spans="1:28">
      <c r="A95" s="68">
        <v>85</v>
      </c>
      <c r="B95" s="69" t="s">
        <v>265</v>
      </c>
      <c r="C95" s="70" t="s">
        <v>258</v>
      </c>
      <c r="D95" s="71">
        <v>28000</v>
      </c>
      <c r="E95" s="71">
        <v>28000</v>
      </c>
      <c r="F95" s="71">
        <f t="shared" si="103"/>
        <v>18264</v>
      </c>
      <c r="G95" s="71"/>
      <c r="H95" s="71"/>
      <c r="I95" s="72">
        <v>31</v>
      </c>
      <c r="J95" s="71">
        <f t="shared" si="104"/>
        <v>18264</v>
      </c>
      <c r="K95" s="71">
        <f t="shared" si="105"/>
        <v>6814</v>
      </c>
      <c r="L95" s="71">
        <f t="shared" si="106"/>
        <v>2922</v>
      </c>
      <c r="M95" s="71"/>
      <c r="N95" s="71"/>
      <c r="O95" s="71"/>
      <c r="P95" s="70">
        <f t="shared" si="107"/>
        <v>28000</v>
      </c>
      <c r="Q95" s="71"/>
      <c r="R95" s="71"/>
      <c r="S95" s="70">
        <f t="shared" si="111"/>
        <v>200</v>
      </c>
      <c r="T95" s="70">
        <f t="shared" si="112"/>
        <v>75</v>
      </c>
      <c r="U95" s="70"/>
      <c r="V95" s="70"/>
      <c r="W95" s="70"/>
      <c r="X95" s="70">
        <f t="shared" si="108"/>
        <v>275</v>
      </c>
      <c r="Y95" s="70">
        <f t="shared" si="109"/>
        <v>27725</v>
      </c>
      <c r="Z95" s="172" t="s">
        <v>266</v>
      </c>
      <c r="AA95" s="95" t="s">
        <v>168</v>
      </c>
    </row>
    <row r="96" ht="14.5" spans="1:28">
      <c r="A96" s="68"/>
      <c r="B96" s="84" t="s">
        <v>267</v>
      </c>
      <c r="C96" s="70"/>
      <c r="D96" s="71"/>
      <c r="E96" s="71"/>
      <c r="F96" s="71">
        <f t="shared" si="103"/>
        <v>0</v>
      </c>
      <c r="G96" s="71"/>
      <c r="H96" s="71"/>
      <c r="I96" s="72"/>
      <c r="J96" s="71">
        <f t="shared" si="104"/>
        <v>0</v>
      </c>
      <c r="K96" s="71">
        <f t="shared" si="105"/>
        <v>0</v>
      </c>
      <c r="L96" s="71">
        <f t="shared" si="106"/>
        <v>0</v>
      </c>
      <c r="M96" s="71"/>
      <c r="N96" s="71"/>
      <c r="O96" s="71"/>
      <c r="P96" s="70">
        <f t="shared" si="107"/>
        <v>0</v>
      </c>
      <c r="Q96" s="70"/>
      <c r="R96" s="70"/>
      <c r="S96" s="70"/>
      <c r="T96" s="70"/>
      <c r="U96" s="70"/>
      <c r="V96" s="70"/>
      <c r="W96" s="70"/>
      <c r="X96" s="70"/>
      <c r="Y96" s="70"/>
      <c r="Z96" s="75"/>
      <c r="AA96" s="67"/>
    </row>
    <row r="97" ht="24.75" customHeight="1" spans="1:28">
      <c r="A97" s="68">
        <v>86</v>
      </c>
      <c r="B97" s="69" t="s">
        <v>268</v>
      </c>
      <c r="C97" s="70" t="s">
        <v>269</v>
      </c>
      <c r="D97" s="71">
        <v>150000</v>
      </c>
      <c r="E97" s="71">
        <v>150000</v>
      </c>
      <c r="F97" s="71">
        <f t="shared" si="103"/>
        <v>97841</v>
      </c>
      <c r="G97" s="71"/>
      <c r="H97" s="71"/>
      <c r="I97" s="72">
        <v>31</v>
      </c>
      <c r="J97" s="71">
        <f t="shared" si="104"/>
        <v>97841</v>
      </c>
      <c r="K97" s="71">
        <f t="shared" si="105"/>
        <v>36504</v>
      </c>
      <c r="L97" s="71">
        <f t="shared" si="106"/>
        <v>15655</v>
      </c>
      <c r="M97" s="71"/>
      <c r="N97" s="71"/>
      <c r="O97" s="71"/>
      <c r="P97" s="70">
        <f t="shared" si="107"/>
        <v>150000</v>
      </c>
      <c r="Q97" s="71">
        <v>3600</v>
      </c>
      <c r="R97" s="71">
        <v>10590</v>
      </c>
      <c r="S97" s="70">
        <f>IF(P97&gt;20001,200,IF(P97&gt;15001,150,IF(P97&lt;15000,0,)))</f>
        <v>200</v>
      </c>
      <c r="T97" s="70">
        <f>IF(P97,IF(1,75),IF(1,0))</f>
        <v>75</v>
      </c>
      <c r="U97" s="70"/>
      <c r="V97" s="70"/>
      <c r="W97" s="70"/>
      <c r="X97" s="70">
        <f t="shared" ref="X97:X109" si="114">SUM(Q97:W97)</f>
        <v>14465</v>
      </c>
      <c r="Y97" s="70">
        <f t="shared" ref="Y97:Y109" si="115">P97-X97</f>
        <v>135535</v>
      </c>
      <c r="Z97" s="172" t="s">
        <v>270</v>
      </c>
      <c r="AA97" s="95" t="s">
        <v>271</v>
      </c>
    </row>
    <row r="98" ht="24.95" customHeight="1" spans="1:28">
      <c r="A98" s="68">
        <v>87</v>
      </c>
      <c r="B98" s="69" t="s">
        <v>272</v>
      </c>
      <c r="C98" s="70" t="s">
        <v>273</v>
      </c>
      <c r="D98" s="71">
        <v>51123</v>
      </c>
      <c r="E98" s="71"/>
      <c r="F98" s="71">
        <f t="shared" si="103"/>
        <v>33346</v>
      </c>
      <c r="G98" s="71"/>
      <c r="H98" s="71">
        <f>G98+F98</f>
        <v>33346</v>
      </c>
      <c r="I98" s="72">
        <v>31</v>
      </c>
      <c r="J98" s="71">
        <f t="shared" si="104"/>
        <v>33346</v>
      </c>
      <c r="K98" s="71">
        <f t="shared" si="105"/>
        <v>12441</v>
      </c>
      <c r="L98" s="71">
        <f t="shared" si="106"/>
        <v>5335</v>
      </c>
      <c r="M98" s="71"/>
      <c r="N98" s="71"/>
      <c r="O98" s="71"/>
      <c r="P98" s="70">
        <f t="shared" si="107"/>
        <v>51122</v>
      </c>
      <c r="Q98" s="71"/>
      <c r="R98" s="71"/>
      <c r="S98" s="70">
        <f>IF(P98&gt;20001,200,IF(P98&gt;15001,150,IF(P98&lt;15000,0,)))</f>
        <v>200</v>
      </c>
      <c r="T98" s="70">
        <f>IF(P98,IF(1,75),IF(1,0))</f>
        <v>75</v>
      </c>
      <c r="U98" s="70"/>
      <c r="V98" s="70"/>
      <c r="W98" s="70">
        <v>958</v>
      </c>
      <c r="X98" s="70">
        <f t="shared" si="114"/>
        <v>1233</v>
      </c>
      <c r="Y98" s="70">
        <f t="shared" si="115"/>
        <v>49889</v>
      </c>
      <c r="Z98" s="172" t="s">
        <v>274</v>
      </c>
      <c r="AA98" s="67" t="s">
        <v>275</v>
      </c>
    </row>
    <row r="99" s="44" customFormat="1" ht="24.95" customHeight="1" spans="1:28">
      <c r="A99" s="68">
        <v>88</v>
      </c>
      <c r="B99" s="69" t="s">
        <v>276</v>
      </c>
      <c r="C99" s="70" t="s">
        <v>74</v>
      </c>
      <c r="D99" s="71">
        <v>68154</v>
      </c>
      <c r="E99" s="71" t="s">
        <v>277</v>
      </c>
      <c r="F99" s="71">
        <f t="shared" si="103"/>
        <v>44455</v>
      </c>
      <c r="G99" s="71"/>
      <c r="H99" s="71">
        <f>G99+F99</f>
        <v>44455</v>
      </c>
      <c r="I99" s="72">
        <v>31</v>
      </c>
      <c r="J99" s="71">
        <f t="shared" si="104"/>
        <v>44455</v>
      </c>
      <c r="K99" s="71">
        <f t="shared" si="105"/>
        <v>16586</v>
      </c>
      <c r="L99" s="71">
        <f t="shared" si="106"/>
        <v>7113</v>
      </c>
      <c r="M99" s="71"/>
      <c r="N99" s="71"/>
      <c r="O99" s="71"/>
      <c r="P99" s="70">
        <f t="shared" si="107"/>
        <v>68154</v>
      </c>
      <c r="Q99" s="71"/>
      <c r="R99" s="71"/>
      <c r="S99" s="70">
        <f>IF(P99&gt;20001,200,IF(P99&gt;15001,150,IF(P99&lt;15000,0,)))</f>
        <v>200</v>
      </c>
      <c r="T99" s="70">
        <f>IF(P99,IF(1,75),IF(1,0))</f>
        <v>75</v>
      </c>
      <c r="U99" s="70"/>
      <c r="V99" s="70"/>
      <c r="W99" s="70"/>
      <c r="X99" s="70">
        <f t="shared" si="114"/>
        <v>275</v>
      </c>
      <c r="Y99" s="70">
        <f t="shared" si="115"/>
        <v>67879</v>
      </c>
      <c r="Z99" s="75" t="s">
        <v>278</v>
      </c>
      <c r="AA99" s="67" t="s">
        <v>33</v>
      </c>
    </row>
    <row r="100" ht="24.95" customHeight="1" spans="1:28">
      <c r="A100" s="68">
        <v>89</v>
      </c>
      <c r="B100" s="69" t="s">
        <v>279</v>
      </c>
      <c r="C100" s="70" t="s">
        <v>61</v>
      </c>
      <c r="D100" s="71">
        <v>49154</v>
      </c>
      <c r="E100" s="71"/>
      <c r="F100" s="71">
        <f t="shared" si="103"/>
        <v>32062</v>
      </c>
      <c r="G100" s="71"/>
      <c r="H100" s="71">
        <f>G100+F100</f>
        <v>32062</v>
      </c>
      <c r="I100" s="72">
        <v>31</v>
      </c>
      <c r="J100" s="71">
        <f t="shared" si="104"/>
        <v>32062</v>
      </c>
      <c r="K100" s="71">
        <f t="shared" si="105"/>
        <v>11962</v>
      </c>
      <c r="L100" s="71">
        <f t="shared" si="106"/>
        <v>5130</v>
      </c>
      <c r="M100" s="71"/>
      <c r="N100" s="71"/>
      <c r="O100" s="71"/>
      <c r="P100" s="70">
        <f t="shared" si="107"/>
        <v>49154</v>
      </c>
      <c r="Q100" s="71"/>
      <c r="R100" s="71"/>
      <c r="S100" s="70">
        <f>IF(P100&gt;20001,200,IF(P100&gt;15001,150,IF(P100&lt;15000,0,)))</f>
        <v>200</v>
      </c>
      <c r="T100" s="70">
        <f>IF(P100,IF(1,75),IF(1,0))</f>
        <v>75</v>
      </c>
      <c r="U100" s="70"/>
      <c r="V100" s="70"/>
      <c r="W100" s="70"/>
      <c r="X100" s="70">
        <f t="shared" si="114"/>
        <v>275</v>
      </c>
      <c r="Y100" s="70">
        <f t="shared" si="115"/>
        <v>48879</v>
      </c>
      <c r="Z100" s="172" t="s">
        <v>280</v>
      </c>
      <c r="AA100" s="67" t="s">
        <v>281</v>
      </c>
    </row>
    <row r="101" s="43" customFormat="1" ht="24.95" customHeight="1" spans="1:28">
      <c r="A101" s="68">
        <v>90</v>
      </c>
      <c r="B101" s="97" t="s">
        <v>282</v>
      </c>
      <c r="C101" s="98" t="s">
        <v>61</v>
      </c>
      <c r="D101" s="99">
        <v>50301</v>
      </c>
      <c r="E101" s="99"/>
      <c r="F101" s="99">
        <f t="shared" si="103"/>
        <v>32810</v>
      </c>
      <c r="G101" s="99"/>
      <c r="H101" s="99">
        <f t="shared" ref="H101" si="116">G101+F101</f>
        <v>32810</v>
      </c>
      <c r="I101" s="100">
        <v>31</v>
      </c>
      <c r="J101" s="99">
        <f t="shared" si="104"/>
        <v>32810</v>
      </c>
      <c r="K101" s="99">
        <f t="shared" si="105"/>
        <v>12241</v>
      </c>
      <c r="L101" s="99">
        <f t="shared" si="106"/>
        <v>5250</v>
      </c>
      <c r="M101" s="99"/>
      <c r="N101" s="99"/>
      <c r="O101" s="99"/>
      <c r="P101" s="98">
        <f t="shared" si="107"/>
        <v>50301</v>
      </c>
      <c r="Q101" s="99"/>
      <c r="R101" s="99"/>
      <c r="S101" s="98">
        <f t="shared" ref="S101" si="117">IF(P101&gt;20001,200,IF(P101&gt;15001,150,IF(P101&lt;15000,0,)))</f>
        <v>200</v>
      </c>
      <c r="T101" s="98">
        <f t="shared" ref="T101:T103" si="118">IF(P101,IF(1,75),IF(1,0))</f>
        <v>75</v>
      </c>
      <c r="U101" s="98"/>
      <c r="V101" s="98"/>
      <c r="W101" s="98"/>
      <c r="X101" s="98">
        <f t="shared" si="114"/>
        <v>275</v>
      </c>
      <c r="Y101" s="98">
        <f t="shared" si="115"/>
        <v>50026</v>
      </c>
      <c r="Z101" s="178" t="s">
        <v>283</v>
      </c>
      <c r="AA101" s="104" t="s">
        <v>156</v>
      </c>
    </row>
    <row r="102" ht="24.95" customHeight="1" spans="1:28">
      <c r="A102" s="68">
        <v>91</v>
      </c>
      <c r="B102" s="94" t="s">
        <v>284</v>
      </c>
      <c r="C102" s="70" t="s">
        <v>61</v>
      </c>
      <c r="D102" s="71">
        <v>36000</v>
      </c>
      <c r="E102" s="71">
        <v>36000</v>
      </c>
      <c r="F102" s="71">
        <f t="shared" si="103"/>
        <v>23482</v>
      </c>
      <c r="G102" s="71"/>
      <c r="H102" s="71"/>
      <c r="I102" s="72">
        <v>31</v>
      </c>
      <c r="J102" s="71">
        <f t="shared" si="104"/>
        <v>23482</v>
      </c>
      <c r="K102" s="71">
        <f t="shared" si="105"/>
        <v>8761</v>
      </c>
      <c r="L102" s="71">
        <f t="shared" si="106"/>
        <v>3757</v>
      </c>
      <c r="M102" s="71"/>
      <c r="N102" s="71"/>
      <c r="O102" s="71"/>
      <c r="P102" s="70">
        <f t="shared" si="107"/>
        <v>36000</v>
      </c>
      <c r="Q102" s="71"/>
      <c r="R102" s="71"/>
      <c r="S102" s="70">
        <f t="shared" ref="S102:S103" si="119">IF(P102&gt;20001,200,IF(P102&gt;15001,150,IF(P102&lt;15000,0,)))</f>
        <v>200</v>
      </c>
      <c r="T102" s="70">
        <f t="shared" si="118"/>
        <v>75</v>
      </c>
      <c r="U102" s="70">
        <v>497</v>
      </c>
      <c r="V102" s="69"/>
      <c r="W102" s="70"/>
      <c r="X102" s="70">
        <f t="shared" si="114"/>
        <v>772</v>
      </c>
      <c r="Y102" s="70">
        <f t="shared" si="115"/>
        <v>35228</v>
      </c>
      <c r="Z102" s="172" t="s">
        <v>285</v>
      </c>
      <c r="AA102" s="67" t="s">
        <v>286</v>
      </c>
    </row>
    <row r="103" ht="24.95" customHeight="1" spans="1:28">
      <c r="A103" s="68">
        <v>92</v>
      </c>
      <c r="B103" s="69" t="s">
        <v>287</v>
      </c>
      <c r="C103" s="70" t="s">
        <v>61</v>
      </c>
      <c r="D103" s="71">
        <v>45061</v>
      </c>
      <c r="E103" s="71"/>
      <c r="F103" s="71">
        <f t="shared" si="103"/>
        <v>29392</v>
      </c>
      <c r="G103" s="71"/>
      <c r="H103" s="71">
        <f t="shared" ref="H103" si="120">G103+F103</f>
        <v>29392</v>
      </c>
      <c r="I103" s="72">
        <v>31</v>
      </c>
      <c r="J103" s="71">
        <f t="shared" si="104"/>
        <v>29392</v>
      </c>
      <c r="K103" s="71">
        <f t="shared" si="105"/>
        <v>10966</v>
      </c>
      <c r="L103" s="71">
        <f t="shared" si="106"/>
        <v>4703</v>
      </c>
      <c r="M103" s="71"/>
      <c r="N103" s="71"/>
      <c r="O103" s="71"/>
      <c r="P103" s="70">
        <f t="shared" si="107"/>
        <v>45061</v>
      </c>
      <c r="Q103" s="71"/>
      <c r="R103" s="71"/>
      <c r="S103" s="70">
        <f t="shared" si="119"/>
        <v>200</v>
      </c>
      <c r="T103" s="70">
        <f t="shared" si="118"/>
        <v>75</v>
      </c>
      <c r="U103" s="70"/>
      <c r="V103" s="70"/>
      <c r="W103" s="70"/>
      <c r="X103" s="70">
        <f t="shared" si="114"/>
        <v>275</v>
      </c>
      <c r="Y103" s="70">
        <f t="shared" si="115"/>
        <v>44786</v>
      </c>
      <c r="Z103" s="172" t="s">
        <v>288</v>
      </c>
      <c r="AA103" s="67" t="s">
        <v>289</v>
      </c>
    </row>
    <row r="104" ht="24.95" customHeight="1" spans="1:28">
      <c r="A104" s="68">
        <v>93</v>
      </c>
      <c r="B104" s="69" t="s">
        <v>290</v>
      </c>
      <c r="C104" s="70" t="s">
        <v>61</v>
      </c>
      <c r="D104" s="71">
        <v>35000</v>
      </c>
      <c r="E104" s="71">
        <v>35000</v>
      </c>
      <c r="F104" s="71">
        <f t="shared" si="103"/>
        <v>22830</v>
      </c>
      <c r="G104" s="71"/>
      <c r="H104" s="71"/>
      <c r="I104" s="72">
        <v>31</v>
      </c>
      <c r="J104" s="71">
        <f t="shared" si="104"/>
        <v>22830</v>
      </c>
      <c r="K104" s="71">
        <f t="shared" si="105"/>
        <v>8518</v>
      </c>
      <c r="L104" s="71">
        <f t="shared" si="106"/>
        <v>3653</v>
      </c>
      <c r="M104" s="71"/>
      <c r="N104" s="71"/>
      <c r="O104" s="71"/>
      <c r="P104" s="70">
        <f t="shared" si="107"/>
        <v>35001</v>
      </c>
      <c r="Q104" s="71"/>
      <c r="R104" s="71"/>
      <c r="S104" s="70">
        <f t="shared" ref="S104:S107" si="121">IF(P104&gt;20001,200,IF(P104&gt;15001,150,IF(P104&lt;15000,0,)))</f>
        <v>200</v>
      </c>
      <c r="T104" s="70">
        <f t="shared" ref="T104:T107" si="122">IF(P104,IF(1,75),IF(1,0))</f>
        <v>75</v>
      </c>
      <c r="U104" s="70"/>
      <c r="V104" s="70"/>
      <c r="W104" s="70">
        <v>958</v>
      </c>
      <c r="X104" s="70">
        <f t="shared" si="114"/>
        <v>1233</v>
      </c>
      <c r="Y104" s="70">
        <f t="shared" si="115"/>
        <v>33768</v>
      </c>
      <c r="Z104" s="177" t="s">
        <v>291</v>
      </c>
      <c r="AA104" s="105" t="s">
        <v>292</v>
      </c>
    </row>
    <row r="105" ht="24.95" customHeight="1" spans="1:28">
      <c r="A105" s="68">
        <v>94</v>
      </c>
      <c r="B105" s="69" t="s">
        <v>293</v>
      </c>
      <c r="C105" s="70" t="s">
        <v>61</v>
      </c>
      <c r="D105" s="71">
        <v>70000</v>
      </c>
      <c r="E105" s="71">
        <v>37000</v>
      </c>
      <c r="F105" s="71">
        <f t="shared" si="103"/>
        <v>45659</v>
      </c>
      <c r="G105" s="71"/>
      <c r="H105" s="71"/>
      <c r="I105" s="72">
        <v>31</v>
      </c>
      <c r="J105" s="71">
        <f t="shared" si="104"/>
        <v>45659</v>
      </c>
      <c r="K105" s="71">
        <f t="shared" si="105"/>
        <v>17035</v>
      </c>
      <c r="L105" s="71">
        <f t="shared" si="106"/>
        <v>7305</v>
      </c>
      <c r="M105" s="71"/>
      <c r="N105" s="71"/>
      <c r="O105" s="71"/>
      <c r="P105" s="70">
        <f t="shared" si="107"/>
        <v>69999</v>
      </c>
      <c r="Q105" s="71"/>
      <c r="R105" s="71"/>
      <c r="S105" s="70">
        <f t="shared" si="121"/>
        <v>200</v>
      </c>
      <c r="T105" s="70">
        <f t="shared" si="122"/>
        <v>75</v>
      </c>
      <c r="U105" s="70"/>
      <c r="V105" s="70"/>
      <c r="W105" s="70"/>
      <c r="X105" s="70">
        <f t="shared" si="114"/>
        <v>275</v>
      </c>
      <c r="Y105" s="70">
        <f t="shared" si="115"/>
        <v>69724</v>
      </c>
      <c r="Z105" s="177" t="s">
        <v>294</v>
      </c>
      <c r="AA105" s="105" t="s">
        <v>295</v>
      </c>
    </row>
    <row r="106" s="45" customFormat="1" ht="28.5" customHeight="1" spans="1:28">
      <c r="A106" s="68">
        <v>95</v>
      </c>
      <c r="B106" s="106" t="s">
        <v>296</v>
      </c>
      <c r="C106" s="107" t="s">
        <v>61</v>
      </c>
      <c r="D106" s="108">
        <v>48003</v>
      </c>
      <c r="E106" s="108"/>
      <c r="F106" s="71">
        <f t="shared" ref="F106:F107" si="123">ROUND(D106/1.5331,0)</f>
        <v>31311</v>
      </c>
      <c r="G106" s="108"/>
      <c r="H106" s="108">
        <f t="shared" ref="H106:H110" si="124">G106+F106</f>
        <v>31311</v>
      </c>
      <c r="I106" s="109">
        <v>31</v>
      </c>
      <c r="J106" s="71">
        <f t="shared" ref="J106:J107" si="125">F106/I$4*I106</f>
        <v>31311</v>
      </c>
      <c r="K106" s="71">
        <f t="shared" ref="K106:K107" si="126">ROUND(J106*37.31%,0)</f>
        <v>11682</v>
      </c>
      <c r="L106" s="71">
        <f t="shared" ref="L106:L107" si="127">ROUND(J106*16%,0)</f>
        <v>5010</v>
      </c>
      <c r="M106" s="71"/>
      <c r="N106" s="71"/>
      <c r="O106" s="71"/>
      <c r="P106" s="70">
        <f t="shared" ref="P106:P107" si="128">ROUNDUP(J106+K106+L106+M106+N106+O106,0)</f>
        <v>48003</v>
      </c>
      <c r="Q106" s="108"/>
      <c r="R106" s="108"/>
      <c r="S106" s="107">
        <f t="shared" si="121"/>
        <v>200</v>
      </c>
      <c r="T106" s="107">
        <f t="shared" si="122"/>
        <v>75</v>
      </c>
      <c r="U106" s="107"/>
      <c r="V106" s="107"/>
      <c r="W106" s="107"/>
      <c r="X106" s="107">
        <f t="shared" ref="X106" si="129">SUM(Q106:W106)</f>
        <v>275</v>
      </c>
      <c r="Y106" s="107">
        <f t="shared" ref="Y106:Y107" si="130">P106-X106</f>
        <v>47728</v>
      </c>
      <c r="Z106" s="179" t="s">
        <v>297</v>
      </c>
      <c r="AA106" s="67" t="s">
        <v>298</v>
      </c>
    </row>
    <row r="107" s="45" customFormat="1" ht="28.5" customHeight="1" spans="1:28">
      <c r="A107" s="68">
        <v>96</v>
      </c>
      <c r="B107" s="106" t="s">
        <v>299</v>
      </c>
      <c r="C107" s="107" t="s">
        <v>61</v>
      </c>
      <c r="D107" s="108">
        <v>22000</v>
      </c>
      <c r="E107" s="108"/>
      <c r="F107" s="71">
        <f t="shared" si="123"/>
        <v>14350</v>
      </c>
      <c r="G107" s="108"/>
      <c r="H107" s="108">
        <f t="shared" si="124"/>
        <v>14350</v>
      </c>
      <c r="I107" s="109">
        <v>29.5</v>
      </c>
      <c r="J107" s="71">
        <f t="shared" si="125"/>
        <v>13655.6451612903</v>
      </c>
      <c r="K107" s="71">
        <f t="shared" si="126"/>
        <v>5095</v>
      </c>
      <c r="L107" s="71">
        <f t="shared" si="127"/>
        <v>2185</v>
      </c>
      <c r="M107" s="71"/>
      <c r="N107" s="71"/>
      <c r="O107" s="71"/>
      <c r="P107" s="70">
        <f t="shared" si="128"/>
        <v>20936</v>
      </c>
      <c r="Q107" s="108"/>
      <c r="R107" s="108"/>
      <c r="S107" s="107">
        <f t="shared" si="121"/>
        <v>200</v>
      </c>
      <c r="T107" s="107">
        <f t="shared" si="122"/>
        <v>75</v>
      </c>
      <c r="U107" s="107"/>
      <c r="V107" s="107"/>
      <c r="W107" s="107"/>
      <c r="X107" s="107">
        <f t="shared" ref="X107" si="131">SUM(Q107:W107)</f>
        <v>275</v>
      </c>
      <c r="Y107" s="107">
        <f t="shared" si="130"/>
        <v>20661</v>
      </c>
      <c r="Z107" s="179" t="s">
        <v>300</v>
      </c>
      <c r="AA107" s="75" t="s">
        <v>264</v>
      </c>
      <c r="AB107" s="111"/>
    </row>
    <row r="108" s="45" customFormat="1" ht="28.5" customHeight="1" spans="1:28">
      <c r="A108" s="68">
        <v>97</v>
      </c>
      <c r="B108" s="106" t="s">
        <v>301</v>
      </c>
      <c r="C108" s="107" t="s">
        <v>61</v>
      </c>
      <c r="D108" s="108">
        <v>35000</v>
      </c>
      <c r="E108" s="108"/>
      <c r="F108" s="71">
        <f t="shared" si="103"/>
        <v>22830</v>
      </c>
      <c r="G108" s="108"/>
      <c r="H108" s="108">
        <f t="shared" si="124"/>
        <v>22830</v>
      </c>
      <c r="I108" s="109">
        <v>30</v>
      </c>
      <c r="J108" s="71">
        <f t="shared" si="104"/>
        <v>22093.5483870968</v>
      </c>
      <c r="K108" s="71">
        <f t="shared" si="105"/>
        <v>8243</v>
      </c>
      <c r="L108" s="71">
        <f t="shared" si="106"/>
        <v>3535</v>
      </c>
      <c r="M108" s="71"/>
      <c r="N108" s="71"/>
      <c r="O108" s="71"/>
      <c r="P108" s="70">
        <f t="shared" si="107"/>
        <v>33872</v>
      </c>
      <c r="Q108" s="108"/>
      <c r="R108" s="108"/>
      <c r="S108" s="107">
        <f t="shared" ref="S108:S109" si="132">IF(P108&gt;20001,200,IF(P108&gt;15001,150,IF(P108&lt;15000,0,)))</f>
        <v>200</v>
      </c>
      <c r="T108" s="107">
        <f t="shared" ref="T108:T109" si="133">IF(P108,IF(1,75),IF(1,0))</f>
        <v>75</v>
      </c>
      <c r="U108" s="107"/>
      <c r="V108" s="107"/>
      <c r="W108" s="107"/>
      <c r="X108" s="107">
        <f t="shared" si="114"/>
        <v>275</v>
      </c>
      <c r="Y108" s="107">
        <f t="shared" si="115"/>
        <v>33597</v>
      </c>
      <c r="Z108" s="175" t="s">
        <v>302</v>
      </c>
      <c r="AA108" s="112" t="s">
        <v>303</v>
      </c>
      <c r="AB108" s="111"/>
    </row>
    <row r="109" s="45" customFormat="1" ht="28.5" customHeight="1" spans="1:28">
      <c r="A109" s="68">
        <v>98</v>
      </c>
      <c r="B109" s="69" t="s">
        <v>304</v>
      </c>
      <c r="C109" s="107" t="s">
        <v>61</v>
      </c>
      <c r="D109" s="108">
        <v>30000</v>
      </c>
      <c r="E109" s="108"/>
      <c r="F109" s="71">
        <f t="shared" si="103"/>
        <v>19568</v>
      </c>
      <c r="G109" s="108"/>
      <c r="H109" s="108">
        <f t="shared" si="124"/>
        <v>19568</v>
      </c>
      <c r="I109" s="109">
        <v>1</v>
      </c>
      <c r="J109" s="71">
        <f t="shared" si="104"/>
        <v>631.225806451613</v>
      </c>
      <c r="K109" s="71">
        <f t="shared" si="105"/>
        <v>236</v>
      </c>
      <c r="L109" s="71">
        <f t="shared" si="106"/>
        <v>101</v>
      </c>
      <c r="M109" s="71"/>
      <c r="N109" s="71"/>
      <c r="O109" s="71"/>
      <c r="P109" s="70">
        <f t="shared" si="107"/>
        <v>969</v>
      </c>
      <c r="Q109" s="108"/>
      <c r="R109" s="108"/>
      <c r="S109" s="107">
        <f t="shared" si="132"/>
        <v>0</v>
      </c>
      <c r="T109" s="107">
        <f t="shared" si="133"/>
        <v>75</v>
      </c>
      <c r="U109" s="107"/>
      <c r="V109" s="107"/>
      <c r="W109" s="107"/>
      <c r="X109" s="107">
        <f t="shared" si="114"/>
        <v>75</v>
      </c>
      <c r="Y109" s="107">
        <f t="shared" si="115"/>
        <v>894</v>
      </c>
      <c r="Z109" s="180" t="s">
        <v>305</v>
      </c>
      <c r="AA109" s="112" t="s">
        <v>306</v>
      </c>
      <c r="AB109" s="114" t="s">
        <v>307</v>
      </c>
    </row>
    <row r="110" s="45" customFormat="1" ht="28.5" customHeight="1" spans="1:28">
      <c r="A110" s="68">
        <v>99</v>
      </c>
      <c r="B110" s="47" t="s">
        <v>308</v>
      </c>
      <c r="C110" s="115" t="s">
        <v>218</v>
      </c>
      <c r="D110" s="116">
        <v>18000</v>
      </c>
      <c r="E110" s="116"/>
      <c r="F110" s="117">
        <f t="shared" si="103"/>
        <v>11741</v>
      </c>
      <c r="G110" s="116"/>
      <c r="H110" s="118">
        <f t="shared" si="124"/>
        <v>11741</v>
      </c>
      <c r="I110" s="119">
        <v>30.5</v>
      </c>
      <c r="J110" s="117">
        <f t="shared" ref="J110" si="134">F110/I$4*I110</f>
        <v>11551.6290322581</v>
      </c>
      <c r="K110" s="117">
        <f t="shared" ref="K110" si="135">ROUND(J110*37.31%,0)</f>
        <v>4310</v>
      </c>
      <c r="L110" s="117">
        <f t="shared" ref="L110" si="136">ROUND(J110*16%,0)</f>
        <v>1848</v>
      </c>
      <c r="M110" s="117"/>
      <c r="N110" s="117"/>
      <c r="O110" s="117"/>
      <c r="P110" s="120">
        <f t="shared" ref="P110" si="137">ROUNDUP(J110+K110+L110+M110+N110+O110,0)</f>
        <v>17710</v>
      </c>
      <c r="Q110" s="118"/>
      <c r="R110" s="118"/>
      <c r="S110" s="115">
        <f t="shared" ref="S110" si="138">IF(P110&gt;20001,200,IF(P110&gt;15001,150,IF(P110&lt;15000,0,)))</f>
        <v>150</v>
      </c>
      <c r="T110" s="115">
        <f t="shared" ref="T110" si="139">IF(P110,IF(1,75),IF(1,0))</f>
        <v>75</v>
      </c>
      <c r="U110" s="115"/>
      <c r="V110" s="115"/>
      <c r="W110" s="115">
        <v>958</v>
      </c>
      <c r="X110" s="115">
        <f t="shared" ref="X110" si="140">SUM(Q110:W110)</f>
        <v>1183</v>
      </c>
      <c r="Y110" s="115">
        <f t="shared" ref="Y110" si="141">P110-X110</f>
        <v>16527</v>
      </c>
      <c r="Z110" s="181" t="s">
        <v>309</v>
      </c>
      <c r="AA110" s="122" t="s">
        <v>216</v>
      </c>
    </row>
    <row r="111" s="46" customFormat="1" ht="28.5" customHeight="1" spans="1:28">
      <c r="A111" s="68">
        <v>100</v>
      </c>
      <c r="B111" s="123" t="s">
        <v>310</v>
      </c>
      <c r="C111" s="124" t="s">
        <v>218</v>
      </c>
      <c r="D111" s="125"/>
      <c r="E111" s="125"/>
      <c r="F111" s="125"/>
      <c r="G111" s="125"/>
      <c r="H111" s="125"/>
      <c r="I111" s="126">
        <v>12</v>
      </c>
      <c r="J111" s="125"/>
      <c r="K111" s="125"/>
      <c r="L111" s="125"/>
      <c r="M111" s="125"/>
      <c r="N111" s="125"/>
      <c r="O111" s="125"/>
      <c r="P111" s="127"/>
      <c r="Q111" s="125"/>
      <c r="R111" s="125"/>
      <c r="S111" s="127"/>
      <c r="T111" s="127"/>
      <c r="U111" s="127"/>
      <c r="V111" s="127"/>
      <c r="W111" s="127"/>
      <c r="X111" s="127"/>
      <c r="Y111" s="127"/>
      <c r="Z111" s="182" t="s">
        <v>311</v>
      </c>
      <c r="AA111" s="129" t="s">
        <v>312</v>
      </c>
      <c r="AB111" s="130" t="s">
        <v>244</v>
      </c>
    </row>
    <row r="112" ht="14.5" spans="1:28">
      <c r="A112" s="68"/>
      <c r="B112" s="84" t="s">
        <v>313</v>
      </c>
      <c r="C112" s="70"/>
      <c r="D112" s="71"/>
      <c r="E112" s="71"/>
      <c r="F112" s="71">
        <f t="shared" ref="F112:F145" si="142">ROUND(D112/1.5331,0)</f>
        <v>0</v>
      </c>
      <c r="G112" s="71"/>
      <c r="H112" s="71"/>
      <c r="I112" s="72"/>
      <c r="J112" s="71">
        <f t="shared" ref="J112:J145" si="143">F112/I$4*I112</f>
        <v>0</v>
      </c>
      <c r="K112" s="71">
        <f t="shared" ref="K112:K145" si="144">ROUND(J112*37.31%,0)</f>
        <v>0</v>
      </c>
      <c r="L112" s="71">
        <f t="shared" ref="L112:L145" si="145">ROUND(J112*16%,0)</f>
        <v>0</v>
      </c>
      <c r="M112" s="71"/>
      <c r="N112" s="71"/>
      <c r="O112" s="71"/>
      <c r="P112" s="70">
        <f t="shared" ref="P112:P130" si="146">ROUNDUP(J112+K112+L112+M112+N112+O112,0)</f>
        <v>0</v>
      </c>
      <c r="Q112" s="71"/>
      <c r="R112" s="71"/>
      <c r="S112" s="70"/>
      <c r="T112" s="70"/>
      <c r="U112" s="70"/>
      <c r="V112" s="70"/>
      <c r="W112" s="70"/>
      <c r="X112" s="70"/>
      <c r="Y112" s="70"/>
      <c r="Z112" s="75"/>
      <c r="AA112" s="67"/>
    </row>
    <row r="113" ht="24" customHeight="1" spans="1:27">
      <c r="A113" s="68">
        <v>101</v>
      </c>
      <c r="B113" s="69" t="s">
        <v>314</v>
      </c>
      <c r="C113" s="70" t="s">
        <v>74</v>
      </c>
      <c r="D113" s="71">
        <v>95050</v>
      </c>
      <c r="E113" s="71"/>
      <c r="F113" s="71">
        <f t="shared" si="142"/>
        <v>61999</v>
      </c>
      <c r="G113" s="71"/>
      <c r="H113" s="71">
        <f t="shared" ref="H113" si="147">G113+F113</f>
        <v>61999</v>
      </c>
      <c r="I113" s="72">
        <v>30</v>
      </c>
      <c r="J113" s="71">
        <f t="shared" si="143"/>
        <v>59999.0322580645</v>
      </c>
      <c r="K113" s="71">
        <f t="shared" si="144"/>
        <v>22386</v>
      </c>
      <c r="L113" s="71">
        <f t="shared" si="145"/>
        <v>9600</v>
      </c>
      <c r="M113" s="71"/>
      <c r="N113" s="71"/>
      <c r="O113" s="71"/>
      <c r="P113" s="70">
        <f t="shared" si="146"/>
        <v>91986</v>
      </c>
      <c r="Q113" s="71">
        <v>3600</v>
      </c>
      <c r="R113" s="71"/>
      <c r="S113" s="70">
        <f t="shared" ref="S113:S117" si="148">IF(P113&gt;20001,200,IF(P113&gt;15001,150,IF(P113&lt;15000,0,)))</f>
        <v>200</v>
      </c>
      <c r="T113" s="70">
        <f t="shared" ref="T113:T117" si="149">IF(P113,IF(1,75),IF(1,0))</f>
        <v>75</v>
      </c>
      <c r="U113" s="70"/>
      <c r="V113" s="70"/>
      <c r="W113" s="70"/>
      <c r="X113" s="70">
        <f t="shared" ref="X113:X117" si="150">SUM(Q113:W113)</f>
        <v>3875</v>
      </c>
      <c r="Y113" s="70">
        <f t="shared" ref="Y113:Y117" si="151">P113-X113</f>
        <v>88111</v>
      </c>
      <c r="Z113" s="172" t="s">
        <v>315</v>
      </c>
      <c r="AA113" s="67" t="s">
        <v>45</v>
      </c>
    </row>
    <row r="114" ht="24" customHeight="1" spans="1:27">
      <c r="A114" s="68">
        <v>102</v>
      </c>
      <c r="B114" s="69" t="s">
        <v>316</v>
      </c>
      <c r="C114" s="70" t="s">
        <v>258</v>
      </c>
      <c r="D114" s="71">
        <v>23000</v>
      </c>
      <c r="E114" s="71">
        <v>23000</v>
      </c>
      <c r="F114" s="71">
        <f t="shared" si="142"/>
        <v>15002</v>
      </c>
      <c r="G114" s="71"/>
      <c r="H114" s="71"/>
      <c r="I114" s="72">
        <v>30</v>
      </c>
      <c r="J114" s="71">
        <f t="shared" si="143"/>
        <v>14518.064516129</v>
      </c>
      <c r="K114" s="71">
        <f t="shared" si="144"/>
        <v>5417</v>
      </c>
      <c r="L114" s="71">
        <f t="shared" si="145"/>
        <v>2323</v>
      </c>
      <c r="M114" s="71"/>
      <c r="N114" s="71"/>
      <c r="O114" s="71"/>
      <c r="P114" s="70">
        <f t="shared" si="146"/>
        <v>22259</v>
      </c>
      <c r="Q114" s="71"/>
      <c r="R114" s="71"/>
      <c r="S114" s="70">
        <f t="shared" si="148"/>
        <v>200</v>
      </c>
      <c r="T114" s="70">
        <f t="shared" si="149"/>
        <v>75</v>
      </c>
      <c r="U114" s="70"/>
      <c r="V114" s="70"/>
      <c r="W114" s="70">
        <v>2625</v>
      </c>
      <c r="X114" s="70">
        <f t="shared" si="150"/>
        <v>2900</v>
      </c>
      <c r="Y114" s="70">
        <f t="shared" si="151"/>
        <v>19359</v>
      </c>
      <c r="Z114" s="172" t="s">
        <v>317</v>
      </c>
      <c r="AA114" s="95" t="s">
        <v>68</v>
      </c>
    </row>
    <row r="115" ht="24" customHeight="1" spans="1:27">
      <c r="A115" s="68">
        <v>103</v>
      </c>
      <c r="B115" s="69" t="s">
        <v>318</v>
      </c>
      <c r="C115" s="70" t="s">
        <v>258</v>
      </c>
      <c r="D115" s="71">
        <v>47001</v>
      </c>
      <c r="E115" s="71"/>
      <c r="F115" s="71">
        <f t="shared" si="142"/>
        <v>30657</v>
      </c>
      <c r="G115" s="71"/>
      <c r="H115" s="71">
        <f t="shared" ref="H115" si="152">G115+F115</f>
        <v>30657</v>
      </c>
      <c r="I115" s="72">
        <v>31</v>
      </c>
      <c r="J115" s="71">
        <f t="shared" si="143"/>
        <v>30657</v>
      </c>
      <c r="K115" s="71">
        <f t="shared" si="144"/>
        <v>11438</v>
      </c>
      <c r="L115" s="71">
        <f t="shared" si="145"/>
        <v>4905</v>
      </c>
      <c r="M115" s="71"/>
      <c r="N115" s="71"/>
      <c r="O115" s="71"/>
      <c r="P115" s="70">
        <f t="shared" si="146"/>
        <v>47000</v>
      </c>
      <c r="Q115" s="71"/>
      <c r="R115" s="71"/>
      <c r="S115" s="70">
        <f t="shared" si="148"/>
        <v>200</v>
      </c>
      <c r="T115" s="70">
        <f t="shared" si="149"/>
        <v>75</v>
      </c>
      <c r="U115" s="70"/>
      <c r="V115" s="70"/>
      <c r="W115" s="70"/>
      <c r="X115" s="70">
        <f t="shared" si="150"/>
        <v>275</v>
      </c>
      <c r="Y115" s="70">
        <f t="shared" si="151"/>
        <v>46725</v>
      </c>
      <c r="Z115" s="172" t="s">
        <v>319</v>
      </c>
      <c r="AA115" s="95" t="s">
        <v>320</v>
      </c>
    </row>
    <row r="116" ht="24" customHeight="1" spans="1:27">
      <c r="A116" s="68">
        <v>104</v>
      </c>
      <c r="B116" s="69" t="s">
        <v>321</v>
      </c>
      <c r="C116" s="70" t="s">
        <v>258</v>
      </c>
      <c r="D116" s="71">
        <v>33000</v>
      </c>
      <c r="E116" s="71">
        <v>33000</v>
      </c>
      <c r="F116" s="71">
        <f t="shared" si="142"/>
        <v>21525</v>
      </c>
      <c r="G116" s="71"/>
      <c r="H116" s="71"/>
      <c r="I116" s="72">
        <v>22</v>
      </c>
      <c r="J116" s="71">
        <f t="shared" si="143"/>
        <v>15275.8064516129</v>
      </c>
      <c r="K116" s="71">
        <f t="shared" si="144"/>
        <v>5699</v>
      </c>
      <c r="L116" s="71">
        <f t="shared" si="145"/>
        <v>2444</v>
      </c>
      <c r="M116" s="71"/>
      <c r="N116" s="71"/>
      <c r="O116" s="71"/>
      <c r="P116" s="70">
        <f t="shared" si="146"/>
        <v>23419</v>
      </c>
      <c r="Q116" s="71"/>
      <c r="R116" s="71"/>
      <c r="S116" s="70">
        <f t="shared" si="148"/>
        <v>200</v>
      </c>
      <c r="T116" s="70">
        <f t="shared" si="149"/>
        <v>75</v>
      </c>
      <c r="U116" s="70"/>
      <c r="V116" s="70"/>
      <c r="W116" s="70"/>
      <c r="X116" s="70">
        <f t="shared" si="150"/>
        <v>275</v>
      </c>
      <c r="Y116" s="70">
        <f t="shared" si="151"/>
        <v>23144</v>
      </c>
      <c r="Z116" s="75">
        <v>3280617419</v>
      </c>
      <c r="AA116" s="95" t="s">
        <v>322</v>
      </c>
    </row>
    <row r="117" ht="24" customHeight="1" spans="1:27">
      <c r="A117" s="68">
        <v>105</v>
      </c>
      <c r="B117" s="69" t="s">
        <v>323</v>
      </c>
      <c r="C117" s="70" t="s">
        <v>258</v>
      </c>
      <c r="D117" s="71">
        <v>55000</v>
      </c>
      <c r="E117" s="71">
        <v>20000</v>
      </c>
      <c r="F117" s="71">
        <f t="shared" si="142"/>
        <v>35875</v>
      </c>
      <c r="G117" s="71"/>
      <c r="H117" s="71"/>
      <c r="I117" s="72">
        <v>21</v>
      </c>
      <c r="J117" s="71">
        <f t="shared" si="143"/>
        <v>24302.4193548387</v>
      </c>
      <c r="K117" s="71">
        <f t="shared" si="144"/>
        <v>9067</v>
      </c>
      <c r="L117" s="71">
        <f t="shared" si="145"/>
        <v>3888</v>
      </c>
      <c r="M117" s="71"/>
      <c r="N117" s="71"/>
      <c r="O117" s="71"/>
      <c r="P117" s="70">
        <f t="shared" si="146"/>
        <v>37258</v>
      </c>
      <c r="Q117" s="71"/>
      <c r="R117" s="71"/>
      <c r="S117" s="70">
        <f t="shared" si="148"/>
        <v>200</v>
      </c>
      <c r="T117" s="70">
        <f t="shared" si="149"/>
        <v>75</v>
      </c>
      <c r="U117" s="70"/>
      <c r="V117" s="70"/>
      <c r="W117" s="70"/>
      <c r="X117" s="70">
        <f t="shared" si="150"/>
        <v>275</v>
      </c>
      <c r="Y117" s="70">
        <f t="shared" si="151"/>
        <v>36983</v>
      </c>
      <c r="Z117" s="75">
        <v>30261763370</v>
      </c>
      <c r="AA117" s="95" t="s">
        <v>264</v>
      </c>
    </row>
    <row r="118" ht="14.5" spans="1:27">
      <c r="A118" s="68"/>
      <c r="B118" s="84" t="s">
        <v>324</v>
      </c>
      <c r="C118" s="70"/>
      <c r="D118" s="71"/>
      <c r="E118" s="71"/>
      <c r="F118" s="71">
        <f t="shared" si="142"/>
        <v>0</v>
      </c>
      <c r="G118" s="71"/>
      <c r="H118" s="71"/>
      <c r="I118" s="72"/>
      <c r="J118" s="71">
        <f t="shared" si="143"/>
        <v>0</v>
      </c>
      <c r="K118" s="71">
        <f t="shared" si="144"/>
        <v>0</v>
      </c>
      <c r="L118" s="71">
        <f t="shared" si="145"/>
        <v>0</v>
      </c>
      <c r="M118" s="71"/>
      <c r="N118" s="71"/>
      <c r="O118" s="71"/>
      <c r="P118" s="70">
        <f t="shared" si="146"/>
        <v>0</v>
      </c>
      <c r="Q118" s="71"/>
      <c r="R118" s="71"/>
      <c r="S118" s="70"/>
      <c r="T118" s="70"/>
      <c r="U118" s="70"/>
      <c r="V118" s="70"/>
      <c r="W118" s="70"/>
      <c r="X118" s="70"/>
      <c r="Y118" s="70"/>
      <c r="Z118" s="75"/>
      <c r="AA118" s="95"/>
    </row>
    <row r="119" ht="24" customHeight="1" spans="1:27">
      <c r="A119" s="68">
        <v>106</v>
      </c>
      <c r="B119" s="69" t="s">
        <v>325</v>
      </c>
      <c r="C119" s="70" t="s">
        <v>71</v>
      </c>
      <c r="D119" s="71">
        <v>85050</v>
      </c>
      <c r="E119" s="71"/>
      <c r="F119" s="71">
        <f t="shared" si="142"/>
        <v>55476</v>
      </c>
      <c r="G119" s="71"/>
      <c r="H119" s="71">
        <f t="shared" ref="H119" si="153">G119+F119</f>
        <v>55476</v>
      </c>
      <c r="I119" s="72">
        <v>31</v>
      </c>
      <c r="J119" s="71">
        <f t="shared" si="143"/>
        <v>55476</v>
      </c>
      <c r="K119" s="71">
        <f t="shared" si="144"/>
        <v>20698</v>
      </c>
      <c r="L119" s="71">
        <f t="shared" si="145"/>
        <v>8876</v>
      </c>
      <c r="M119" s="71"/>
      <c r="N119" s="71"/>
      <c r="O119" s="71"/>
      <c r="P119" s="70">
        <f t="shared" si="146"/>
        <v>85050</v>
      </c>
      <c r="Q119" s="70"/>
      <c r="R119" s="70"/>
      <c r="S119" s="70">
        <f t="shared" ref="S119:S126" si="154">IF(P119&gt;20001,200,IF(P119&gt;15001,150,IF(P119&lt;15000,0,)))</f>
        <v>200</v>
      </c>
      <c r="T119" s="70">
        <f t="shared" ref="T119:T126" si="155">IF(P119,IF(1,75),IF(1,0))</f>
        <v>75</v>
      </c>
      <c r="U119" s="70"/>
      <c r="V119" s="70"/>
      <c r="W119" s="70"/>
      <c r="X119" s="70">
        <f t="shared" ref="X119:X125" si="156">SUM(Q119:W119)</f>
        <v>275</v>
      </c>
      <c r="Y119" s="70">
        <f t="shared" ref="Y119:Y125" si="157">P119-X119</f>
        <v>84775</v>
      </c>
      <c r="Z119" s="172" t="s">
        <v>326</v>
      </c>
      <c r="AA119" s="67" t="s">
        <v>45</v>
      </c>
    </row>
    <row r="120" ht="24" customHeight="1" spans="1:27">
      <c r="A120" s="68">
        <v>107</v>
      </c>
      <c r="B120" s="69" t="s">
        <v>327</v>
      </c>
      <c r="C120" s="70" t="s">
        <v>328</v>
      </c>
      <c r="D120" s="71">
        <v>85000</v>
      </c>
      <c r="E120" s="71"/>
      <c r="F120" s="71">
        <f t="shared" si="142"/>
        <v>55443</v>
      </c>
      <c r="G120" s="71"/>
      <c r="H120" s="71">
        <f>F120+G120</f>
        <v>55443</v>
      </c>
      <c r="I120" s="72">
        <v>31</v>
      </c>
      <c r="J120" s="71">
        <f t="shared" si="143"/>
        <v>55443</v>
      </c>
      <c r="K120" s="71">
        <f t="shared" si="144"/>
        <v>20686</v>
      </c>
      <c r="L120" s="71">
        <f t="shared" si="145"/>
        <v>8871</v>
      </c>
      <c r="M120" s="71"/>
      <c r="N120" s="71"/>
      <c r="O120" s="71"/>
      <c r="P120" s="70">
        <f t="shared" si="146"/>
        <v>85000</v>
      </c>
      <c r="Q120" s="71"/>
      <c r="R120" s="71"/>
      <c r="S120" s="70">
        <f t="shared" si="154"/>
        <v>200</v>
      </c>
      <c r="T120" s="70">
        <f t="shared" si="155"/>
        <v>75</v>
      </c>
      <c r="U120" s="70"/>
      <c r="V120" s="70"/>
      <c r="W120" s="70"/>
      <c r="X120" s="70">
        <f t="shared" si="156"/>
        <v>275</v>
      </c>
      <c r="Y120" s="70">
        <f t="shared" si="157"/>
        <v>84725</v>
      </c>
      <c r="Z120" s="172" t="s">
        <v>329</v>
      </c>
      <c r="AA120" s="67" t="s">
        <v>330</v>
      </c>
    </row>
    <row r="121" ht="24" customHeight="1" spans="1:27">
      <c r="A121" s="68">
        <v>108</v>
      </c>
      <c r="B121" s="69" t="s">
        <v>331</v>
      </c>
      <c r="C121" s="70" t="s">
        <v>61</v>
      </c>
      <c r="D121" s="71">
        <v>36096</v>
      </c>
      <c r="E121" s="71"/>
      <c r="F121" s="71">
        <f t="shared" si="142"/>
        <v>23544</v>
      </c>
      <c r="G121" s="71"/>
      <c r="H121" s="71">
        <f>G121+F121</f>
        <v>23544</v>
      </c>
      <c r="I121" s="72">
        <v>31</v>
      </c>
      <c r="J121" s="71">
        <f t="shared" si="143"/>
        <v>23544</v>
      </c>
      <c r="K121" s="71">
        <f t="shared" si="144"/>
        <v>8784</v>
      </c>
      <c r="L121" s="71">
        <f t="shared" si="145"/>
        <v>3767</v>
      </c>
      <c r="M121" s="71"/>
      <c r="N121" s="71"/>
      <c r="O121" s="71"/>
      <c r="P121" s="70">
        <f t="shared" si="146"/>
        <v>36095</v>
      </c>
      <c r="Q121" s="71"/>
      <c r="R121" s="71"/>
      <c r="S121" s="70">
        <f t="shared" si="154"/>
        <v>200</v>
      </c>
      <c r="T121" s="70">
        <f t="shared" si="155"/>
        <v>75</v>
      </c>
      <c r="U121" s="70"/>
      <c r="V121" s="70"/>
      <c r="W121" s="70"/>
      <c r="X121" s="70">
        <f t="shared" si="156"/>
        <v>275</v>
      </c>
      <c r="Y121" s="70">
        <f t="shared" si="157"/>
        <v>35820</v>
      </c>
      <c r="Z121" s="172" t="s">
        <v>332</v>
      </c>
      <c r="AA121" s="67" t="s">
        <v>333</v>
      </c>
    </row>
    <row r="122" ht="24" customHeight="1" spans="1:27">
      <c r="A122" s="68">
        <v>109</v>
      </c>
      <c r="B122" s="69" t="s">
        <v>334</v>
      </c>
      <c r="C122" s="70" t="s">
        <v>61</v>
      </c>
      <c r="D122" s="71">
        <v>48065</v>
      </c>
      <c r="E122" s="71"/>
      <c r="F122" s="71">
        <f t="shared" si="142"/>
        <v>31352</v>
      </c>
      <c r="G122" s="71"/>
      <c r="H122" s="71">
        <f>F122+G122</f>
        <v>31352</v>
      </c>
      <c r="I122" s="72">
        <v>31</v>
      </c>
      <c r="J122" s="71">
        <f t="shared" si="143"/>
        <v>31352</v>
      </c>
      <c r="K122" s="71">
        <f t="shared" si="144"/>
        <v>11697</v>
      </c>
      <c r="L122" s="71">
        <f t="shared" si="145"/>
        <v>5016</v>
      </c>
      <c r="M122" s="71"/>
      <c r="N122" s="71"/>
      <c r="O122" s="71"/>
      <c r="P122" s="70">
        <f t="shared" si="146"/>
        <v>48065</v>
      </c>
      <c r="Q122" s="71"/>
      <c r="R122" s="71"/>
      <c r="S122" s="70">
        <f t="shared" si="154"/>
        <v>200</v>
      </c>
      <c r="T122" s="70">
        <f t="shared" si="155"/>
        <v>75</v>
      </c>
      <c r="U122" s="70"/>
      <c r="V122" s="70"/>
      <c r="W122" s="70"/>
      <c r="X122" s="70">
        <f t="shared" si="156"/>
        <v>275</v>
      </c>
      <c r="Y122" s="70">
        <f t="shared" si="157"/>
        <v>47790</v>
      </c>
      <c r="Z122" s="172" t="s">
        <v>335</v>
      </c>
      <c r="AA122" s="67" t="s">
        <v>336</v>
      </c>
    </row>
    <row r="123" ht="24" customHeight="1" spans="1:27">
      <c r="A123" s="68">
        <v>110</v>
      </c>
      <c r="B123" s="69" t="s">
        <v>337</v>
      </c>
      <c r="C123" s="70" t="s">
        <v>61</v>
      </c>
      <c r="D123" s="71">
        <v>35074</v>
      </c>
      <c r="E123" s="71"/>
      <c r="F123" s="71">
        <f t="shared" si="142"/>
        <v>22878</v>
      </c>
      <c r="G123" s="71"/>
      <c r="H123" s="71">
        <f t="shared" ref="H123" si="158">G123+F123</f>
        <v>22878</v>
      </c>
      <c r="I123" s="72">
        <v>31</v>
      </c>
      <c r="J123" s="71">
        <f t="shared" si="143"/>
        <v>22878</v>
      </c>
      <c r="K123" s="71">
        <f t="shared" si="144"/>
        <v>8536</v>
      </c>
      <c r="L123" s="71">
        <f t="shared" si="145"/>
        <v>3660</v>
      </c>
      <c r="M123" s="71"/>
      <c r="N123" s="71"/>
      <c r="O123" s="71"/>
      <c r="P123" s="70">
        <f t="shared" si="146"/>
        <v>35074</v>
      </c>
      <c r="Q123" s="71"/>
      <c r="R123" s="71"/>
      <c r="S123" s="70">
        <f t="shared" si="154"/>
        <v>200</v>
      </c>
      <c r="T123" s="70">
        <f t="shared" si="155"/>
        <v>75</v>
      </c>
      <c r="U123" s="71"/>
      <c r="V123" s="71"/>
      <c r="W123" s="70"/>
      <c r="X123" s="70">
        <f t="shared" si="156"/>
        <v>275</v>
      </c>
      <c r="Y123" s="71">
        <f t="shared" si="157"/>
        <v>34799</v>
      </c>
      <c r="Z123" s="172" t="s">
        <v>338</v>
      </c>
      <c r="AA123" s="67" t="s">
        <v>339</v>
      </c>
    </row>
    <row r="124" ht="24" customHeight="1" spans="1:27">
      <c r="A124" s="68">
        <v>111</v>
      </c>
      <c r="B124" s="69" t="s">
        <v>340</v>
      </c>
      <c r="C124" s="70" t="s">
        <v>61</v>
      </c>
      <c r="D124" s="71">
        <v>25000</v>
      </c>
      <c r="E124" s="71">
        <v>25000</v>
      </c>
      <c r="F124" s="71">
        <f t="shared" si="142"/>
        <v>16307</v>
      </c>
      <c r="G124" s="71"/>
      <c r="H124" s="71"/>
      <c r="I124" s="72">
        <v>31</v>
      </c>
      <c r="J124" s="71">
        <f t="shared" si="143"/>
        <v>16307</v>
      </c>
      <c r="K124" s="71">
        <f t="shared" si="144"/>
        <v>6084</v>
      </c>
      <c r="L124" s="71">
        <f t="shared" si="145"/>
        <v>2609</v>
      </c>
      <c r="M124" s="71"/>
      <c r="N124" s="71"/>
      <c r="O124" s="71"/>
      <c r="P124" s="70">
        <f t="shared" si="146"/>
        <v>25000</v>
      </c>
      <c r="Q124" s="71"/>
      <c r="R124" s="71">
        <v>0</v>
      </c>
      <c r="S124" s="70">
        <f t="shared" si="154"/>
        <v>200</v>
      </c>
      <c r="T124" s="70">
        <f t="shared" si="155"/>
        <v>75</v>
      </c>
      <c r="U124" s="70"/>
      <c r="V124" s="70"/>
      <c r="W124" s="70"/>
      <c r="X124" s="70">
        <f t="shared" si="156"/>
        <v>275</v>
      </c>
      <c r="Y124" s="70">
        <f t="shared" si="157"/>
        <v>24725</v>
      </c>
      <c r="Z124" s="172" t="s">
        <v>341</v>
      </c>
      <c r="AA124" s="67" t="s">
        <v>342</v>
      </c>
    </row>
    <row r="125" ht="24" customHeight="1" spans="1:27">
      <c r="A125" s="68">
        <v>112</v>
      </c>
      <c r="B125" s="69" t="s">
        <v>343</v>
      </c>
      <c r="C125" s="70" t="s">
        <v>61</v>
      </c>
      <c r="D125" s="71">
        <v>48000</v>
      </c>
      <c r="E125" s="71">
        <v>48000</v>
      </c>
      <c r="F125" s="71">
        <f t="shared" si="142"/>
        <v>31309</v>
      </c>
      <c r="G125" s="71"/>
      <c r="H125" s="71"/>
      <c r="I125" s="72">
        <v>31</v>
      </c>
      <c r="J125" s="71">
        <f t="shared" si="143"/>
        <v>31309</v>
      </c>
      <c r="K125" s="71">
        <f t="shared" si="144"/>
        <v>11681</v>
      </c>
      <c r="L125" s="71">
        <f t="shared" si="145"/>
        <v>5009</v>
      </c>
      <c r="M125" s="71"/>
      <c r="N125" s="71"/>
      <c r="O125" s="71"/>
      <c r="P125" s="70">
        <f t="shared" si="146"/>
        <v>47999</v>
      </c>
      <c r="Q125" s="71"/>
      <c r="R125" s="71"/>
      <c r="S125" s="70">
        <f t="shared" si="154"/>
        <v>200</v>
      </c>
      <c r="T125" s="70">
        <f t="shared" si="155"/>
        <v>75</v>
      </c>
      <c r="U125" s="71">
        <v>294</v>
      </c>
      <c r="V125" s="71"/>
      <c r="W125" s="70"/>
      <c r="X125" s="70">
        <f t="shared" si="156"/>
        <v>569</v>
      </c>
      <c r="Y125" s="71">
        <f t="shared" si="157"/>
        <v>47430</v>
      </c>
      <c r="Z125" s="177" t="s">
        <v>344</v>
      </c>
      <c r="AA125" s="105" t="s">
        <v>345</v>
      </c>
    </row>
    <row r="126" ht="24" customHeight="1" spans="1:27">
      <c r="A126" s="68">
        <v>113</v>
      </c>
      <c r="B126" s="69" t="s">
        <v>299</v>
      </c>
      <c r="C126" s="70" t="s">
        <v>61</v>
      </c>
      <c r="D126" s="71">
        <v>45000</v>
      </c>
      <c r="E126" s="71"/>
      <c r="F126" s="71">
        <f t="shared" si="142"/>
        <v>29352</v>
      </c>
      <c r="G126" s="71"/>
      <c r="H126" s="71"/>
      <c r="I126" s="72">
        <v>29</v>
      </c>
      <c r="J126" s="71">
        <f t="shared" si="143"/>
        <v>27458.3225806452</v>
      </c>
      <c r="K126" s="71">
        <f t="shared" si="144"/>
        <v>10245</v>
      </c>
      <c r="L126" s="71">
        <f t="shared" si="145"/>
        <v>4393</v>
      </c>
      <c r="M126" s="71"/>
      <c r="N126" s="71"/>
      <c r="O126" s="71"/>
      <c r="P126" s="70">
        <f t="shared" si="146"/>
        <v>42097</v>
      </c>
      <c r="Q126" s="71"/>
      <c r="R126" s="71"/>
      <c r="S126" s="70">
        <f t="shared" si="154"/>
        <v>200</v>
      </c>
      <c r="T126" s="70">
        <f t="shared" si="155"/>
        <v>75</v>
      </c>
      <c r="U126" s="71"/>
      <c r="V126" s="71"/>
      <c r="W126" s="70"/>
      <c r="X126" s="70">
        <f t="shared" ref="X126" si="159">SUM(Q126:W126)</f>
        <v>275</v>
      </c>
      <c r="Y126" s="71">
        <f t="shared" ref="Y126" si="160">P126-X126</f>
        <v>41822</v>
      </c>
      <c r="Z126" s="177" t="s">
        <v>346</v>
      </c>
      <c r="AA126" s="105" t="s">
        <v>347</v>
      </c>
    </row>
    <row r="127" ht="14.5" spans="1:27">
      <c r="A127" s="68"/>
      <c r="B127" s="84" t="s">
        <v>348</v>
      </c>
      <c r="C127" s="70"/>
      <c r="D127" s="71"/>
      <c r="E127" s="71"/>
      <c r="F127" s="71">
        <f t="shared" si="142"/>
        <v>0</v>
      </c>
      <c r="G127" s="71"/>
      <c r="H127" s="71"/>
      <c r="I127" s="72"/>
      <c r="J127" s="71">
        <f t="shared" si="143"/>
        <v>0</v>
      </c>
      <c r="K127" s="71">
        <f t="shared" si="144"/>
        <v>0</v>
      </c>
      <c r="L127" s="71">
        <f t="shared" si="145"/>
        <v>0</v>
      </c>
      <c r="M127" s="71"/>
      <c r="N127" s="71"/>
      <c r="O127" s="71"/>
      <c r="P127" s="70">
        <f t="shared" si="146"/>
        <v>0</v>
      </c>
      <c r="Q127" s="71"/>
      <c r="R127" s="71"/>
      <c r="S127" s="70"/>
      <c r="T127" s="70"/>
      <c r="U127" s="70"/>
      <c r="V127" s="70"/>
      <c r="W127" s="70"/>
      <c r="X127" s="70"/>
      <c r="Y127" s="70"/>
      <c r="Z127" s="75"/>
      <c r="AA127" s="67"/>
    </row>
    <row r="128" ht="24" customHeight="1" spans="1:27">
      <c r="A128" s="68">
        <v>114</v>
      </c>
      <c r="B128" s="69" t="s">
        <v>349</v>
      </c>
      <c r="C128" s="70" t="s">
        <v>350</v>
      </c>
      <c r="D128" s="70">
        <v>89560</v>
      </c>
      <c r="E128" s="71"/>
      <c r="F128" s="71">
        <f t="shared" si="142"/>
        <v>58418</v>
      </c>
      <c r="G128" s="71"/>
      <c r="H128" s="71">
        <f t="shared" ref="H128:H132" si="161">G128+F128</f>
        <v>58418</v>
      </c>
      <c r="I128" s="72">
        <v>31</v>
      </c>
      <c r="J128" s="71">
        <f t="shared" si="143"/>
        <v>58418</v>
      </c>
      <c r="K128" s="71">
        <f t="shared" si="144"/>
        <v>21796</v>
      </c>
      <c r="L128" s="71">
        <f t="shared" si="145"/>
        <v>9347</v>
      </c>
      <c r="M128" s="71"/>
      <c r="N128" s="71"/>
      <c r="O128" s="71"/>
      <c r="P128" s="70">
        <f t="shared" si="146"/>
        <v>89561</v>
      </c>
      <c r="Q128" s="71">
        <v>3600</v>
      </c>
      <c r="R128" s="71"/>
      <c r="S128" s="70">
        <f t="shared" ref="S128:S133" si="162">IF(P128&gt;20001,200,IF(P128&gt;15001,150,IF(P128&lt;15000,0,)))</f>
        <v>200</v>
      </c>
      <c r="T128" s="70">
        <f t="shared" ref="T128:T133" si="163">IF(P128,IF(1,75),IF(1,0))</f>
        <v>75</v>
      </c>
      <c r="U128" s="70"/>
      <c r="V128" s="70"/>
      <c r="W128" s="70"/>
      <c r="X128" s="70">
        <f t="shared" ref="X128:X133" si="164">SUM(Q128:W128)</f>
        <v>3875</v>
      </c>
      <c r="Y128" s="70">
        <f t="shared" ref="Y128:Y133" si="165">P128-X128</f>
        <v>85686</v>
      </c>
      <c r="Z128" s="172" t="s">
        <v>351</v>
      </c>
      <c r="AA128" s="67" t="s">
        <v>33</v>
      </c>
    </row>
    <row r="129" s="43" customFormat="1" ht="24" customHeight="1" spans="1:27">
      <c r="A129" s="131">
        <v>115</v>
      </c>
      <c r="B129" s="97" t="s">
        <v>352</v>
      </c>
      <c r="C129" s="98" t="s">
        <v>71</v>
      </c>
      <c r="D129" s="99">
        <v>74000</v>
      </c>
      <c r="E129" s="99"/>
      <c r="F129" s="99">
        <f t="shared" si="142"/>
        <v>48268</v>
      </c>
      <c r="G129" s="99"/>
      <c r="H129" s="99">
        <f t="shared" si="161"/>
        <v>48268</v>
      </c>
      <c r="I129" s="100">
        <v>31</v>
      </c>
      <c r="J129" s="99">
        <f t="shared" si="143"/>
        <v>48268</v>
      </c>
      <c r="K129" s="99">
        <f t="shared" si="144"/>
        <v>18009</v>
      </c>
      <c r="L129" s="99">
        <f t="shared" si="145"/>
        <v>7723</v>
      </c>
      <c r="M129" s="99"/>
      <c r="N129" s="99"/>
      <c r="O129" s="99"/>
      <c r="P129" s="98">
        <f t="shared" si="146"/>
        <v>74000</v>
      </c>
      <c r="Q129" s="99"/>
      <c r="R129" s="99"/>
      <c r="S129" s="98">
        <f t="shared" si="162"/>
        <v>200</v>
      </c>
      <c r="T129" s="98">
        <f t="shared" si="163"/>
        <v>75</v>
      </c>
      <c r="U129" s="98"/>
      <c r="V129" s="98"/>
      <c r="W129" s="98"/>
      <c r="X129" s="98">
        <f t="shared" si="164"/>
        <v>275</v>
      </c>
      <c r="Y129" s="98">
        <f t="shared" si="165"/>
        <v>73725</v>
      </c>
      <c r="Z129" s="178" t="s">
        <v>353</v>
      </c>
      <c r="AA129" s="104" t="s">
        <v>354</v>
      </c>
    </row>
    <row r="130" ht="24" customHeight="1" spans="1:27">
      <c r="A130" s="68">
        <v>116</v>
      </c>
      <c r="B130" s="69" t="s">
        <v>355</v>
      </c>
      <c r="C130" s="70" t="s">
        <v>74</v>
      </c>
      <c r="D130" s="71">
        <v>48030</v>
      </c>
      <c r="E130" s="71"/>
      <c r="F130" s="71">
        <f t="shared" si="142"/>
        <v>31329</v>
      </c>
      <c r="G130" s="71"/>
      <c r="H130" s="71">
        <f t="shared" si="161"/>
        <v>31329</v>
      </c>
      <c r="I130" s="72">
        <v>30</v>
      </c>
      <c r="J130" s="71">
        <f t="shared" si="143"/>
        <v>30318.3870967742</v>
      </c>
      <c r="K130" s="71">
        <f t="shared" si="144"/>
        <v>11312</v>
      </c>
      <c r="L130" s="71">
        <f t="shared" si="145"/>
        <v>4851</v>
      </c>
      <c r="M130" s="71"/>
      <c r="N130" s="71"/>
      <c r="O130" s="71"/>
      <c r="P130" s="70">
        <f t="shared" si="146"/>
        <v>46482</v>
      </c>
      <c r="Q130" s="71"/>
      <c r="R130" s="71">
        <v>0</v>
      </c>
      <c r="S130" s="70">
        <f t="shared" si="162"/>
        <v>200</v>
      </c>
      <c r="T130" s="70">
        <f t="shared" si="163"/>
        <v>75</v>
      </c>
      <c r="U130" s="70"/>
      <c r="V130" s="70"/>
      <c r="W130" s="70"/>
      <c r="X130" s="70">
        <f t="shared" si="164"/>
        <v>275</v>
      </c>
      <c r="Y130" s="70">
        <f t="shared" si="165"/>
        <v>46207</v>
      </c>
      <c r="Z130" s="172" t="s">
        <v>356</v>
      </c>
      <c r="AA130" s="67" t="s">
        <v>45</v>
      </c>
    </row>
    <row r="131" ht="24" customHeight="1" spans="1:27">
      <c r="A131" s="131">
        <v>117</v>
      </c>
      <c r="B131" s="69" t="s">
        <v>357</v>
      </c>
      <c r="C131" s="70" t="s">
        <v>74</v>
      </c>
      <c r="D131" s="71">
        <v>100031</v>
      </c>
      <c r="E131" s="71"/>
      <c r="F131" s="71">
        <f t="shared" si="142"/>
        <v>65248</v>
      </c>
      <c r="G131" s="71"/>
      <c r="H131" s="71">
        <f t="shared" si="161"/>
        <v>65248</v>
      </c>
      <c r="I131" s="72">
        <v>31</v>
      </c>
      <c r="J131" s="71">
        <f t="shared" si="143"/>
        <v>65248</v>
      </c>
      <c r="K131" s="71">
        <f t="shared" si="144"/>
        <v>24344</v>
      </c>
      <c r="L131" s="71">
        <f t="shared" si="145"/>
        <v>10440</v>
      </c>
      <c r="M131" s="71"/>
      <c r="N131" s="71"/>
      <c r="O131" s="71">
        <v>15000</v>
      </c>
      <c r="P131" s="70">
        <f>ROUNDUP(J131+K131+L131+M131+N131,0)</f>
        <v>100032</v>
      </c>
      <c r="Q131" s="71">
        <v>3600</v>
      </c>
      <c r="R131" s="71"/>
      <c r="S131" s="70">
        <f t="shared" si="162"/>
        <v>200</v>
      </c>
      <c r="T131" s="70">
        <f t="shared" si="163"/>
        <v>75</v>
      </c>
      <c r="U131" s="70"/>
      <c r="V131" s="70"/>
      <c r="W131" s="70"/>
      <c r="X131" s="70">
        <f t="shared" si="164"/>
        <v>3875</v>
      </c>
      <c r="Y131" s="70">
        <f t="shared" si="165"/>
        <v>96157</v>
      </c>
      <c r="Z131" s="172" t="s">
        <v>358</v>
      </c>
      <c r="AA131" s="67" t="s">
        <v>33</v>
      </c>
    </row>
    <row r="132" ht="24" customHeight="1" spans="1:27">
      <c r="A132" s="68">
        <v>118</v>
      </c>
      <c r="B132" s="69" t="s">
        <v>359</v>
      </c>
      <c r="C132" s="70" t="s">
        <v>61</v>
      </c>
      <c r="D132" s="71">
        <v>38255</v>
      </c>
      <c r="E132" s="71"/>
      <c r="F132" s="71">
        <f t="shared" si="142"/>
        <v>24953</v>
      </c>
      <c r="G132" s="71"/>
      <c r="H132" s="71">
        <f t="shared" si="161"/>
        <v>24953</v>
      </c>
      <c r="I132" s="72">
        <v>30</v>
      </c>
      <c r="J132" s="71">
        <f t="shared" si="143"/>
        <v>24148.064516129</v>
      </c>
      <c r="K132" s="71">
        <f t="shared" si="144"/>
        <v>9010</v>
      </c>
      <c r="L132" s="71">
        <f t="shared" si="145"/>
        <v>3864</v>
      </c>
      <c r="M132" s="71"/>
      <c r="N132" s="71"/>
      <c r="O132" s="71"/>
      <c r="P132" s="70">
        <f t="shared" ref="P132:P145" si="166">ROUNDUP(J132+K132+L132+M132+N132+O132,0)</f>
        <v>37023</v>
      </c>
      <c r="Q132" s="71">
        <v>3600</v>
      </c>
      <c r="R132" s="71"/>
      <c r="S132" s="70">
        <f t="shared" si="162"/>
        <v>200</v>
      </c>
      <c r="T132" s="70">
        <f t="shared" si="163"/>
        <v>75</v>
      </c>
      <c r="U132" s="70"/>
      <c r="V132" s="70"/>
      <c r="W132" s="70"/>
      <c r="X132" s="70">
        <f t="shared" si="164"/>
        <v>3875</v>
      </c>
      <c r="Y132" s="70">
        <f t="shared" si="165"/>
        <v>33148</v>
      </c>
      <c r="Z132" s="172" t="s">
        <v>360</v>
      </c>
      <c r="AA132" s="67" t="s">
        <v>45</v>
      </c>
    </row>
    <row r="133" s="44" customFormat="1" ht="24" customHeight="1" spans="1:27">
      <c r="A133" s="131">
        <v>119</v>
      </c>
      <c r="B133" s="69" t="s">
        <v>361</v>
      </c>
      <c r="C133" s="70" t="s">
        <v>61</v>
      </c>
      <c r="D133" s="71">
        <v>31000</v>
      </c>
      <c r="E133" s="71">
        <v>28000</v>
      </c>
      <c r="F133" s="71">
        <f t="shared" si="142"/>
        <v>20220</v>
      </c>
      <c r="G133" s="71"/>
      <c r="H133" s="71"/>
      <c r="I133" s="72">
        <v>30</v>
      </c>
      <c r="J133" s="71">
        <f t="shared" si="143"/>
        <v>19567.7419354839</v>
      </c>
      <c r="K133" s="71">
        <f t="shared" si="144"/>
        <v>7301</v>
      </c>
      <c r="L133" s="71">
        <f t="shared" si="145"/>
        <v>3131</v>
      </c>
      <c r="M133" s="71"/>
      <c r="N133" s="71"/>
      <c r="O133" s="71"/>
      <c r="P133" s="70">
        <f t="shared" si="166"/>
        <v>30000</v>
      </c>
      <c r="Q133" s="71"/>
      <c r="R133" s="71"/>
      <c r="S133" s="70">
        <f t="shared" si="162"/>
        <v>200</v>
      </c>
      <c r="T133" s="70">
        <f t="shared" si="163"/>
        <v>75</v>
      </c>
      <c r="U133" s="71"/>
      <c r="V133" s="71"/>
      <c r="W133" s="70"/>
      <c r="X133" s="70">
        <f t="shared" si="164"/>
        <v>275</v>
      </c>
      <c r="Y133" s="71">
        <f t="shared" si="165"/>
        <v>29725</v>
      </c>
      <c r="Z133" s="172" t="s">
        <v>362</v>
      </c>
      <c r="AA133" s="67" t="s">
        <v>363</v>
      </c>
    </row>
    <row r="134" ht="14.5" spans="1:27">
      <c r="A134" s="68"/>
      <c r="B134" s="84" t="s">
        <v>364</v>
      </c>
      <c r="C134" s="70"/>
      <c r="D134" s="71"/>
      <c r="E134" s="71"/>
      <c r="F134" s="71">
        <f t="shared" si="142"/>
        <v>0</v>
      </c>
      <c r="G134" s="71"/>
      <c r="H134" s="71"/>
      <c r="I134" s="72"/>
      <c r="J134" s="71">
        <f t="shared" si="143"/>
        <v>0</v>
      </c>
      <c r="K134" s="71">
        <f t="shared" si="144"/>
        <v>0</v>
      </c>
      <c r="L134" s="71">
        <f t="shared" si="145"/>
        <v>0</v>
      </c>
      <c r="M134" s="71"/>
      <c r="N134" s="71"/>
      <c r="O134" s="71"/>
      <c r="P134" s="70">
        <f t="shared" si="166"/>
        <v>0</v>
      </c>
      <c r="Q134" s="71"/>
      <c r="R134" s="71"/>
      <c r="S134" s="70"/>
      <c r="T134" s="70"/>
      <c r="U134" s="70"/>
      <c r="V134" s="70"/>
      <c r="W134" s="70"/>
      <c r="X134" s="70"/>
      <c r="Y134" s="70"/>
      <c r="Z134" s="75"/>
      <c r="AA134" s="67"/>
    </row>
    <row r="135" ht="26.45" customHeight="1" spans="1:27">
      <c r="A135" s="68">
        <v>120</v>
      </c>
      <c r="B135" s="69" t="s">
        <v>365</v>
      </c>
      <c r="C135" s="132" t="s">
        <v>366</v>
      </c>
      <c r="D135" s="71">
        <v>138526</v>
      </c>
      <c r="E135" s="71"/>
      <c r="F135" s="71">
        <f t="shared" si="142"/>
        <v>90357</v>
      </c>
      <c r="G135" s="71"/>
      <c r="H135" s="71">
        <f t="shared" ref="H135:H140" si="167">G135+F135</f>
        <v>90357</v>
      </c>
      <c r="I135" s="72">
        <v>31</v>
      </c>
      <c r="J135" s="71">
        <f t="shared" si="143"/>
        <v>90357</v>
      </c>
      <c r="K135" s="71">
        <f t="shared" si="144"/>
        <v>33712</v>
      </c>
      <c r="L135" s="71">
        <f t="shared" si="145"/>
        <v>14457</v>
      </c>
      <c r="M135" s="71"/>
      <c r="N135" s="71"/>
      <c r="O135" s="71"/>
      <c r="P135" s="70">
        <f t="shared" si="166"/>
        <v>138526</v>
      </c>
      <c r="Q135" s="71">
        <v>3600</v>
      </c>
      <c r="R135" s="71">
        <v>10000</v>
      </c>
      <c r="S135" s="70">
        <f t="shared" ref="S135:S143" si="168">IF(P135&gt;20001,200,IF(P135&gt;15001,150,IF(P135&lt;15000,0,)))</f>
        <v>200</v>
      </c>
      <c r="T135" s="70">
        <f t="shared" ref="T135:T143" si="169">IF(P135,IF(1,75),IF(1,0))</f>
        <v>75</v>
      </c>
      <c r="U135" s="70"/>
      <c r="V135" s="70"/>
      <c r="W135" s="70"/>
      <c r="X135" s="70">
        <f t="shared" ref="X135:X145" si="170">SUM(Q135:W135)</f>
        <v>13875</v>
      </c>
      <c r="Y135" s="70">
        <f t="shared" ref="Y135:Y145" si="171">P135-X135</f>
        <v>124651</v>
      </c>
      <c r="Z135" s="172" t="s">
        <v>367</v>
      </c>
      <c r="AA135" s="67" t="s">
        <v>45</v>
      </c>
    </row>
    <row r="136" ht="24" customHeight="1" spans="1:27">
      <c r="A136" s="68">
        <v>121</v>
      </c>
      <c r="B136" s="69" t="s">
        <v>368</v>
      </c>
      <c r="C136" s="70" t="s">
        <v>369</v>
      </c>
      <c r="D136" s="71">
        <v>58116</v>
      </c>
      <c r="E136" s="71"/>
      <c r="F136" s="71">
        <f t="shared" si="142"/>
        <v>37908</v>
      </c>
      <c r="G136" s="71"/>
      <c r="H136" s="71">
        <f t="shared" si="167"/>
        <v>37908</v>
      </c>
      <c r="I136" s="72">
        <v>29.5</v>
      </c>
      <c r="J136" s="71">
        <f t="shared" si="143"/>
        <v>36073.7419354839</v>
      </c>
      <c r="K136" s="71">
        <f t="shared" si="144"/>
        <v>13459</v>
      </c>
      <c r="L136" s="71">
        <f t="shared" si="145"/>
        <v>5772</v>
      </c>
      <c r="M136" s="71"/>
      <c r="N136" s="71"/>
      <c r="O136" s="71"/>
      <c r="P136" s="70">
        <f t="shared" si="166"/>
        <v>55305</v>
      </c>
      <c r="Q136" s="71"/>
      <c r="R136" s="71"/>
      <c r="S136" s="70">
        <f t="shared" si="168"/>
        <v>200</v>
      </c>
      <c r="T136" s="70">
        <f t="shared" si="169"/>
        <v>75</v>
      </c>
      <c r="U136" s="70"/>
      <c r="V136" s="70"/>
      <c r="W136" s="70">
        <v>2625</v>
      </c>
      <c r="X136" s="70">
        <f t="shared" si="170"/>
        <v>2900</v>
      </c>
      <c r="Y136" s="70">
        <f t="shared" si="171"/>
        <v>52405</v>
      </c>
      <c r="Z136" s="172" t="s">
        <v>370</v>
      </c>
      <c r="AA136" s="67" t="s">
        <v>45</v>
      </c>
    </row>
    <row r="137" ht="24" customHeight="1" spans="1:27">
      <c r="A137" s="68">
        <v>122</v>
      </c>
      <c r="B137" s="69" t="s">
        <v>371</v>
      </c>
      <c r="C137" s="70" t="s">
        <v>47</v>
      </c>
      <c r="D137" s="71">
        <v>53005</v>
      </c>
      <c r="E137" s="71"/>
      <c r="F137" s="71">
        <f t="shared" si="142"/>
        <v>34574</v>
      </c>
      <c r="G137" s="71"/>
      <c r="H137" s="71">
        <f t="shared" ref="H137" si="172">G137+F137</f>
        <v>34574</v>
      </c>
      <c r="I137" s="72">
        <v>31</v>
      </c>
      <c r="J137" s="71">
        <f t="shared" si="143"/>
        <v>34574</v>
      </c>
      <c r="K137" s="71">
        <f t="shared" si="144"/>
        <v>12900</v>
      </c>
      <c r="L137" s="71">
        <f t="shared" si="145"/>
        <v>5532</v>
      </c>
      <c r="M137" s="71"/>
      <c r="N137" s="71"/>
      <c r="O137" s="71"/>
      <c r="P137" s="70">
        <f t="shared" si="166"/>
        <v>53006</v>
      </c>
      <c r="Q137" s="71"/>
      <c r="R137" s="71"/>
      <c r="S137" s="70">
        <f t="shared" si="168"/>
        <v>200</v>
      </c>
      <c r="T137" s="70">
        <f t="shared" si="169"/>
        <v>75</v>
      </c>
      <c r="U137" s="70"/>
      <c r="V137" s="70"/>
      <c r="W137" s="70">
        <v>2625</v>
      </c>
      <c r="X137" s="70">
        <f t="shared" si="170"/>
        <v>2900</v>
      </c>
      <c r="Y137" s="70">
        <f t="shared" si="171"/>
        <v>50106</v>
      </c>
      <c r="Z137" s="172" t="s">
        <v>372</v>
      </c>
      <c r="AA137" s="67" t="s">
        <v>80</v>
      </c>
    </row>
    <row r="138" ht="24" customHeight="1" spans="1:27">
      <c r="A138" s="68">
        <v>123</v>
      </c>
      <c r="B138" s="69" t="s">
        <v>373</v>
      </c>
      <c r="C138" s="70" t="s">
        <v>61</v>
      </c>
      <c r="D138" s="71">
        <v>35075</v>
      </c>
      <c r="E138" s="71"/>
      <c r="F138" s="71">
        <f t="shared" si="142"/>
        <v>22878</v>
      </c>
      <c r="G138" s="71"/>
      <c r="H138" s="71">
        <f t="shared" si="167"/>
        <v>22878</v>
      </c>
      <c r="I138" s="72">
        <v>31</v>
      </c>
      <c r="J138" s="71">
        <f t="shared" si="143"/>
        <v>22878</v>
      </c>
      <c r="K138" s="71">
        <f t="shared" si="144"/>
        <v>8536</v>
      </c>
      <c r="L138" s="71">
        <f t="shared" si="145"/>
        <v>3660</v>
      </c>
      <c r="M138" s="71"/>
      <c r="N138" s="71"/>
      <c r="O138" s="71"/>
      <c r="P138" s="70">
        <f t="shared" si="166"/>
        <v>35074</v>
      </c>
      <c r="Q138" s="71"/>
      <c r="R138" s="71"/>
      <c r="S138" s="70">
        <f t="shared" si="168"/>
        <v>200</v>
      </c>
      <c r="T138" s="70">
        <f t="shared" si="169"/>
        <v>75</v>
      </c>
      <c r="U138" s="70"/>
      <c r="V138" s="70"/>
      <c r="W138" s="70">
        <v>2625</v>
      </c>
      <c r="X138" s="70">
        <f t="shared" si="170"/>
        <v>2900</v>
      </c>
      <c r="Y138" s="70">
        <f t="shared" si="171"/>
        <v>32174</v>
      </c>
      <c r="Z138" s="172" t="s">
        <v>374</v>
      </c>
      <c r="AA138" s="67" t="s">
        <v>45</v>
      </c>
    </row>
    <row r="139" ht="24" customHeight="1" spans="1:27">
      <c r="A139" s="68">
        <v>124</v>
      </c>
      <c r="B139" s="69" t="s">
        <v>375</v>
      </c>
      <c r="C139" s="70" t="s">
        <v>61</v>
      </c>
      <c r="D139" s="71">
        <v>34371</v>
      </c>
      <c r="E139" s="71"/>
      <c r="F139" s="71">
        <f t="shared" si="142"/>
        <v>22419</v>
      </c>
      <c r="G139" s="71"/>
      <c r="H139" s="71">
        <f t="shared" si="167"/>
        <v>22419</v>
      </c>
      <c r="I139" s="72">
        <v>30</v>
      </c>
      <c r="J139" s="71">
        <f t="shared" si="143"/>
        <v>21695.8064516129</v>
      </c>
      <c r="K139" s="71">
        <f t="shared" si="144"/>
        <v>8095</v>
      </c>
      <c r="L139" s="71">
        <f t="shared" si="145"/>
        <v>3471</v>
      </c>
      <c r="M139" s="71"/>
      <c r="N139" s="71"/>
      <c r="O139" s="71"/>
      <c r="P139" s="70">
        <f t="shared" si="166"/>
        <v>33262</v>
      </c>
      <c r="Q139" s="71"/>
      <c r="R139" s="71"/>
      <c r="S139" s="70">
        <f t="shared" si="168"/>
        <v>200</v>
      </c>
      <c r="T139" s="70">
        <f t="shared" si="169"/>
        <v>75</v>
      </c>
      <c r="U139" s="70"/>
      <c r="V139" s="70"/>
      <c r="W139" s="70"/>
      <c r="X139" s="70">
        <f t="shared" si="170"/>
        <v>275</v>
      </c>
      <c r="Y139" s="70">
        <f t="shared" si="171"/>
        <v>32987</v>
      </c>
      <c r="Z139" s="172" t="s">
        <v>376</v>
      </c>
      <c r="AA139" s="67" t="s">
        <v>45</v>
      </c>
    </row>
    <row r="140" ht="24" customHeight="1" spans="1:27">
      <c r="A140" s="68">
        <v>125</v>
      </c>
      <c r="B140" s="69" t="s">
        <v>377</v>
      </c>
      <c r="C140" s="70" t="s">
        <v>61</v>
      </c>
      <c r="D140" s="71">
        <v>30406</v>
      </c>
      <c r="E140" s="71"/>
      <c r="F140" s="71">
        <f t="shared" si="142"/>
        <v>19833</v>
      </c>
      <c r="G140" s="71"/>
      <c r="H140" s="71">
        <f t="shared" si="167"/>
        <v>19833</v>
      </c>
      <c r="I140" s="72">
        <v>31</v>
      </c>
      <c r="J140" s="71">
        <f t="shared" si="143"/>
        <v>19833</v>
      </c>
      <c r="K140" s="71">
        <f t="shared" si="144"/>
        <v>7400</v>
      </c>
      <c r="L140" s="71">
        <f t="shared" si="145"/>
        <v>3173</v>
      </c>
      <c r="M140" s="71"/>
      <c r="N140" s="71"/>
      <c r="O140" s="71"/>
      <c r="P140" s="70">
        <f t="shared" si="166"/>
        <v>30406</v>
      </c>
      <c r="Q140" s="71"/>
      <c r="R140" s="71"/>
      <c r="S140" s="70">
        <f t="shared" si="168"/>
        <v>200</v>
      </c>
      <c r="T140" s="70">
        <f t="shared" si="169"/>
        <v>75</v>
      </c>
      <c r="U140" s="70"/>
      <c r="V140" s="70"/>
      <c r="W140" s="70">
        <v>958</v>
      </c>
      <c r="X140" s="70">
        <f t="shared" si="170"/>
        <v>1233</v>
      </c>
      <c r="Y140" s="70">
        <f t="shared" si="171"/>
        <v>29173</v>
      </c>
      <c r="Z140" s="172" t="s">
        <v>378</v>
      </c>
      <c r="AA140" s="67" t="s">
        <v>45</v>
      </c>
    </row>
    <row r="141" ht="24" customHeight="1" spans="1:27">
      <c r="A141" s="68">
        <v>126</v>
      </c>
      <c r="B141" s="69" t="s">
        <v>379</v>
      </c>
      <c r="C141" s="70" t="s">
        <v>61</v>
      </c>
      <c r="D141" s="71">
        <v>29000</v>
      </c>
      <c r="E141" s="71">
        <v>29000</v>
      </c>
      <c r="F141" s="71">
        <f t="shared" si="142"/>
        <v>18916</v>
      </c>
      <c r="G141" s="71"/>
      <c r="H141" s="71"/>
      <c r="I141" s="72">
        <v>31</v>
      </c>
      <c r="J141" s="71">
        <f t="shared" si="143"/>
        <v>18916</v>
      </c>
      <c r="K141" s="71">
        <f t="shared" si="144"/>
        <v>7058</v>
      </c>
      <c r="L141" s="71">
        <f t="shared" si="145"/>
        <v>3027</v>
      </c>
      <c r="M141" s="71"/>
      <c r="N141" s="71"/>
      <c r="O141" s="71"/>
      <c r="P141" s="70">
        <f t="shared" si="166"/>
        <v>29001</v>
      </c>
      <c r="Q141" s="71"/>
      <c r="R141" s="71"/>
      <c r="S141" s="70">
        <f t="shared" si="168"/>
        <v>200</v>
      </c>
      <c r="T141" s="70">
        <f t="shared" si="169"/>
        <v>75</v>
      </c>
      <c r="U141" s="70"/>
      <c r="V141" s="70"/>
      <c r="W141" s="70"/>
      <c r="X141" s="70">
        <f t="shared" si="170"/>
        <v>275</v>
      </c>
      <c r="Y141" s="70">
        <f t="shared" si="171"/>
        <v>28726</v>
      </c>
      <c r="Z141" s="172" t="s">
        <v>380</v>
      </c>
      <c r="AA141" s="67" t="s">
        <v>45</v>
      </c>
    </row>
    <row r="142" ht="24" customHeight="1" spans="1:27">
      <c r="A142" s="68">
        <v>127</v>
      </c>
      <c r="B142" s="69" t="s">
        <v>381</v>
      </c>
      <c r="C142" s="70" t="s">
        <v>61</v>
      </c>
      <c r="D142" s="71">
        <v>28000</v>
      </c>
      <c r="E142" s="71">
        <v>28000</v>
      </c>
      <c r="F142" s="71">
        <f t="shared" si="142"/>
        <v>18264</v>
      </c>
      <c r="G142" s="71"/>
      <c r="H142" s="71"/>
      <c r="I142" s="72">
        <v>30.5</v>
      </c>
      <c r="J142" s="71">
        <f t="shared" si="143"/>
        <v>17969.4193548387</v>
      </c>
      <c r="K142" s="71">
        <f t="shared" si="144"/>
        <v>6704</v>
      </c>
      <c r="L142" s="71">
        <f t="shared" si="145"/>
        <v>2875</v>
      </c>
      <c r="M142" s="71"/>
      <c r="N142" s="71"/>
      <c r="O142" s="71"/>
      <c r="P142" s="70">
        <f t="shared" si="166"/>
        <v>27549</v>
      </c>
      <c r="Q142" s="71"/>
      <c r="R142" s="71"/>
      <c r="S142" s="70">
        <f t="shared" si="168"/>
        <v>200</v>
      </c>
      <c r="T142" s="70">
        <f t="shared" si="169"/>
        <v>75</v>
      </c>
      <c r="U142" s="70"/>
      <c r="V142" s="70"/>
      <c r="W142" s="70"/>
      <c r="X142" s="70">
        <f t="shared" si="170"/>
        <v>275</v>
      </c>
      <c r="Y142" s="70">
        <f t="shared" si="171"/>
        <v>27274</v>
      </c>
      <c r="Z142" s="172" t="s">
        <v>382</v>
      </c>
      <c r="AA142" s="67" t="s">
        <v>383</v>
      </c>
    </row>
    <row r="143" ht="24" customHeight="1" spans="1:27">
      <c r="A143" s="68">
        <v>128</v>
      </c>
      <c r="B143" s="69" t="s">
        <v>384</v>
      </c>
      <c r="C143" s="70" t="s">
        <v>61</v>
      </c>
      <c r="D143" s="71">
        <v>23000</v>
      </c>
      <c r="E143" s="71">
        <v>23000</v>
      </c>
      <c r="F143" s="71">
        <f t="shared" si="142"/>
        <v>15002</v>
      </c>
      <c r="G143" s="71"/>
      <c r="H143" s="71"/>
      <c r="I143" s="72">
        <v>31</v>
      </c>
      <c r="J143" s="71">
        <f t="shared" si="143"/>
        <v>15002</v>
      </c>
      <c r="K143" s="71">
        <f t="shared" si="144"/>
        <v>5597</v>
      </c>
      <c r="L143" s="71">
        <f t="shared" si="145"/>
        <v>2400</v>
      </c>
      <c r="M143" s="71"/>
      <c r="N143" s="71"/>
      <c r="O143" s="71"/>
      <c r="P143" s="70">
        <f t="shared" si="166"/>
        <v>22999</v>
      </c>
      <c r="Q143" s="71"/>
      <c r="R143" s="71"/>
      <c r="S143" s="70">
        <f t="shared" si="168"/>
        <v>200</v>
      </c>
      <c r="T143" s="70">
        <f t="shared" si="169"/>
        <v>75</v>
      </c>
      <c r="U143" s="70"/>
      <c r="V143" s="70"/>
      <c r="W143" s="70">
        <v>2625</v>
      </c>
      <c r="X143" s="70">
        <f t="shared" si="170"/>
        <v>2900</v>
      </c>
      <c r="Y143" s="70">
        <f t="shared" si="171"/>
        <v>20099</v>
      </c>
      <c r="Z143" s="172" t="s">
        <v>385</v>
      </c>
      <c r="AA143" s="67" t="s">
        <v>386</v>
      </c>
    </row>
    <row r="144" ht="24" customHeight="1" spans="1:27">
      <c r="A144" s="68">
        <v>129</v>
      </c>
      <c r="B144" s="69" t="s">
        <v>387</v>
      </c>
      <c r="C144" s="70" t="s">
        <v>225</v>
      </c>
      <c r="D144" s="71">
        <v>21000</v>
      </c>
      <c r="E144" s="71">
        <v>18000</v>
      </c>
      <c r="F144" s="71">
        <f t="shared" si="142"/>
        <v>13698</v>
      </c>
      <c r="G144" s="71"/>
      <c r="H144" s="71"/>
      <c r="I144" s="72">
        <v>31</v>
      </c>
      <c r="J144" s="71">
        <f t="shared" si="143"/>
        <v>13698</v>
      </c>
      <c r="K144" s="71">
        <f t="shared" si="144"/>
        <v>5111</v>
      </c>
      <c r="L144" s="71">
        <f t="shared" si="145"/>
        <v>2192</v>
      </c>
      <c r="M144" s="71"/>
      <c r="N144" s="71"/>
      <c r="O144" s="71"/>
      <c r="P144" s="70">
        <f t="shared" si="166"/>
        <v>21001</v>
      </c>
      <c r="Q144" s="70"/>
      <c r="R144" s="70"/>
      <c r="S144" s="70">
        <f t="shared" ref="S144:S145" si="173">IF(P144&gt;20001,200,IF(P144&gt;15001,150,IF(P144&lt;15000,0,)))</f>
        <v>200</v>
      </c>
      <c r="T144" s="70">
        <f t="shared" ref="T144:T145" si="174">IF(P144,IF(1,75),IF(1,0))</f>
        <v>75</v>
      </c>
      <c r="U144" s="70"/>
      <c r="V144" s="70"/>
      <c r="W144" s="70"/>
      <c r="X144" s="70">
        <f t="shared" si="170"/>
        <v>275</v>
      </c>
      <c r="Y144" s="70">
        <f t="shared" si="171"/>
        <v>20726</v>
      </c>
      <c r="Z144" s="172" t="s">
        <v>388</v>
      </c>
      <c r="AA144" s="183" t="s">
        <v>389</v>
      </c>
    </row>
    <row r="145" ht="24" customHeight="1" spans="1:27">
      <c r="A145" s="68">
        <v>130</v>
      </c>
      <c r="B145" s="69" t="s">
        <v>390</v>
      </c>
      <c r="C145" s="70" t="s">
        <v>225</v>
      </c>
      <c r="D145" s="71">
        <v>18000</v>
      </c>
      <c r="E145" s="71">
        <v>18000</v>
      </c>
      <c r="F145" s="71">
        <f t="shared" si="142"/>
        <v>11741</v>
      </c>
      <c r="G145" s="71"/>
      <c r="H145" s="71"/>
      <c r="I145" s="72">
        <v>21</v>
      </c>
      <c r="J145" s="71">
        <f t="shared" si="143"/>
        <v>7953.58064516129</v>
      </c>
      <c r="K145" s="71">
        <f t="shared" si="144"/>
        <v>2967</v>
      </c>
      <c r="L145" s="71">
        <f t="shared" si="145"/>
        <v>1273</v>
      </c>
      <c r="M145" s="71"/>
      <c r="N145" s="71"/>
      <c r="O145" s="71"/>
      <c r="P145" s="70">
        <f t="shared" si="166"/>
        <v>12194</v>
      </c>
      <c r="Q145" s="70"/>
      <c r="R145" s="70"/>
      <c r="S145" s="70">
        <f t="shared" si="173"/>
        <v>0</v>
      </c>
      <c r="T145" s="70">
        <f t="shared" si="174"/>
        <v>75</v>
      </c>
      <c r="U145" s="70"/>
      <c r="V145" s="70"/>
      <c r="W145" s="70">
        <v>1584</v>
      </c>
      <c r="X145" s="70">
        <f t="shared" si="170"/>
        <v>1659</v>
      </c>
      <c r="Y145" s="70">
        <f t="shared" si="171"/>
        <v>10535</v>
      </c>
      <c r="Z145" s="177" t="s">
        <v>391</v>
      </c>
      <c r="AA145" s="105" t="s">
        <v>392</v>
      </c>
    </row>
    <row r="146" s="44" customFormat="1" ht="24" customHeight="1" spans="1:27">
      <c r="A146" s="68">
        <v>131</v>
      </c>
      <c r="B146" s="69" t="s">
        <v>393</v>
      </c>
      <c r="C146" s="70" t="s">
        <v>225</v>
      </c>
      <c r="D146" s="71">
        <v>20000</v>
      </c>
      <c r="E146" s="71">
        <v>18000</v>
      </c>
      <c r="F146" s="71">
        <f t="shared" ref="F146:F147" si="175">ROUND(D146/1.5331,0)</f>
        <v>13045</v>
      </c>
      <c r="G146" s="71"/>
      <c r="H146" s="71"/>
      <c r="I146" s="72">
        <v>26</v>
      </c>
      <c r="J146" s="71">
        <f t="shared" ref="J146:J147" si="176">F146/I$4*I146</f>
        <v>10940.9677419355</v>
      </c>
      <c r="K146" s="71">
        <f t="shared" ref="K146:K147" si="177">ROUND(J146*37.31%,0)</f>
        <v>4082</v>
      </c>
      <c r="L146" s="71">
        <f t="shared" ref="L146:L147" si="178">ROUND(J146*16%,0)</f>
        <v>1751</v>
      </c>
      <c r="M146" s="71"/>
      <c r="N146" s="71"/>
      <c r="O146" s="71"/>
      <c r="P146" s="70">
        <f t="shared" ref="P146:P147" si="179">ROUNDUP(J146+K146+L146+M146+N146+O146,0)</f>
        <v>16774</v>
      </c>
      <c r="Q146" s="70"/>
      <c r="R146" s="70"/>
      <c r="S146" s="70">
        <f t="shared" ref="S146" si="180">IF(P146&gt;20001,200,IF(P146&gt;15001,150,IF(P146&lt;15000,0,)))</f>
        <v>150</v>
      </c>
      <c r="T146" s="70">
        <f t="shared" ref="T146" si="181">IF(P146,IF(1,75),IF(1,0))</f>
        <v>75</v>
      </c>
      <c r="U146" s="70"/>
      <c r="V146" s="70"/>
      <c r="W146" s="70"/>
      <c r="X146" s="70">
        <f t="shared" ref="X146" si="182">SUM(Q146:W146)</f>
        <v>225</v>
      </c>
      <c r="Y146" s="70">
        <f t="shared" ref="Y146" si="183">P146-X146</f>
        <v>16549</v>
      </c>
      <c r="Z146" s="184" t="s">
        <v>394</v>
      </c>
      <c r="AA146" s="134" t="s">
        <v>45</v>
      </c>
    </row>
    <row r="147" ht="14.5" spans="1:27">
      <c r="A147" s="68"/>
      <c r="B147" s="84" t="s">
        <v>395</v>
      </c>
      <c r="C147" s="70"/>
      <c r="D147" s="71"/>
      <c r="E147" s="71"/>
      <c r="F147" s="71">
        <f t="shared" si="175"/>
        <v>0</v>
      </c>
      <c r="G147" s="71"/>
      <c r="H147" s="71"/>
      <c r="I147" s="72"/>
      <c r="J147" s="71">
        <f t="shared" si="176"/>
        <v>0</v>
      </c>
      <c r="K147" s="71">
        <f t="shared" si="177"/>
        <v>0</v>
      </c>
      <c r="L147" s="71">
        <f t="shared" si="178"/>
        <v>0</v>
      </c>
      <c r="M147" s="71"/>
      <c r="N147" s="71"/>
      <c r="O147" s="71"/>
      <c r="P147" s="70">
        <f t="shared" si="179"/>
        <v>0</v>
      </c>
      <c r="Q147" s="71"/>
      <c r="R147" s="71"/>
      <c r="S147" s="70"/>
      <c r="T147" s="70"/>
      <c r="U147" s="70"/>
      <c r="V147" s="70"/>
      <c r="W147" s="70"/>
      <c r="X147" s="70"/>
      <c r="Y147" s="70"/>
      <c r="Z147" s="75"/>
      <c r="AA147" s="67"/>
    </row>
    <row r="148" ht="24" customHeight="1" spans="1:27">
      <c r="A148" s="76">
        <v>132</v>
      </c>
      <c r="B148" s="135" t="s">
        <v>396</v>
      </c>
      <c r="C148" s="136" t="s">
        <v>397</v>
      </c>
      <c r="D148" s="80">
        <v>185000</v>
      </c>
      <c r="E148" s="80"/>
      <c r="F148" s="80">
        <f t="shared" ref="F148:F151" si="184">ROUND(D148/1.5331,0)</f>
        <v>120671</v>
      </c>
      <c r="G148" s="80"/>
      <c r="H148" s="80">
        <f t="shared" ref="H148:H151" si="185">G148+F148</f>
        <v>120671</v>
      </c>
      <c r="I148" s="81">
        <v>31</v>
      </c>
      <c r="J148" s="80">
        <f t="shared" ref="J148:J151" si="186">F148/I$4*I148</f>
        <v>120671</v>
      </c>
      <c r="K148" s="80">
        <f t="shared" ref="K148:K151" si="187">ROUND(J148*37.31%,0)</f>
        <v>45022</v>
      </c>
      <c r="L148" s="80">
        <f t="shared" ref="L148:L151" si="188">ROUND(J148*16%,0)</f>
        <v>19307</v>
      </c>
      <c r="M148" s="80"/>
      <c r="N148" s="80"/>
      <c r="O148" s="80"/>
      <c r="P148" s="136">
        <f t="shared" ref="P148:P151" si="189">ROUNDUP(J148+K148+L148+M148+N148+O148,0)</f>
        <v>185000</v>
      </c>
      <c r="Q148" s="80"/>
      <c r="R148" s="80">
        <v>20000</v>
      </c>
      <c r="S148" s="136">
        <f t="shared" ref="S148:S151" si="190">IF(P148&gt;20001,200,IF(P148&gt;15001,150,IF(P148&lt;15000,0,)))</f>
        <v>200</v>
      </c>
      <c r="T148" s="136">
        <f t="shared" ref="T148:T151" si="191">IF(P148,IF(1,75),IF(1,0))</f>
        <v>75</v>
      </c>
      <c r="U148" s="136"/>
      <c r="V148" s="136"/>
      <c r="W148" s="136"/>
      <c r="X148" s="136">
        <f t="shared" ref="X148:X151" si="192">SUM(Q148:W148)</f>
        <v>20275</v>
      </c>
      <c r="Y148" s="136">
        <f t="shared" ref="Y148:Y151" si="193">P148-X148</f>
        <v>164725</v>
      </c>
      <c r="Z148" s="137"/>
      <c r="AA148" s="138"/>
    </row>
    <row r="149" ht="24" customHeight="1" spans="1:27">
      <c r="A149" s="68">
        <v>133</v>
      </c>
      <c r="B149" s="69" t="s">
        <v>398</v>
      </c>
      <c r="C149" s="70" t="s">
        <v>399</v>
      </c>
      <c r="D149" s="71">
        <v>78688</v>
      </c>
      <c r="E149" s="71"/>
      <c r="F149" s="71">
        <f t="shared" si="184"/>
        <v>51326</v>
      </c>
      <c r="G149" s="71"/>
      <c r="H149" s="71">
        <f t="shared" si="185"/>
        <v>51326</v>
      </c>
      <c r="I149" s="72">
        <v>31</v>
      </c>
      <c r="J149" s="71">
        <f t="shared" si="186"/>
        <v>51326</v>
      </c>
      <c r="K149" s="71">
        <f t="shared" si="187"/>
        <v>19150</v>
      </c>
      <c r="L149" s="71">
        <f t="shared" si="188"/>
        <v>8212</v>
      </c>
      <c r="M149" s="71"/>
      <c r="N149" s="71"/>
      <c r="O149" s="71"/>
      <c r="P149" s="70">
        <f t="shared" si="189"/>
        <v>78688</v>
      </c>
      <c r="Q149" s="71">
        <v>3600</v>
      </c>
      <c r="R149" s="71"/>
      <c r="S149" s="70">
        <f t="shared" si="190"/>
        <v>200</v>
      </c>
      <c r="T149" s="70">
        <f t="shared" si="191"/>
        <v>75</v>
      </c>
      <c r="U149" s="70"/>
      <c r="V149" s="70"/>
      <c r="W149" s="70">
        <v>958</v>
      </c>
      <c r="X149" s="70">
        <f t="shared" si="192"/>
        <v>4833</v>
      </c>
      <c r="Y149" s="70">
        <f t="shared" si="193"/>
        <v>73855</v>
      </c>
      <c r="Z149" s="172" t="s">
        <v>400</v>
      </c>
      <c r="AA149" s="67" t="s">
        <v>45</v>
      </c>
    </row>
    <row r="150" ht="24" customHeight="1" spans="1:27">
      <c r="A150" s="68">
        <v>134</v>
      </c>
      <c r="B150" s="85" t="s">
        <v>401</v>
      </c>
      <c r="C150" s="86" t="s">
        <v>402</v>
      </c>
      <c r="D150" s="86">
        <v>44655</v>
      </c>
      <c r="E150" s="86"/>
      <c r="F150" s="71">
        <f t="shared" si="184"/>
        <v>29127</v>
      </c>
      <c r="G150" s="87"/>
      <c r="H150" s="87">
        <f t="shared" si="185"/>
        <v>29127</v>
      </c>
      <c r="I150" s="93">
        <v>30</v>
      </c>
      <c r="J150" s="71">
        <f t="shared" si="186"/>
        <v>28187.4193548387</v>
      </c>
      <c r="K150" s="71">
        <f t="shared" si="187"/>
        <v>10517</v>
      </c>
      <c r="L150" s="71">
        <f t="shared" si="188"/>
        <v>4510</v>
      </c>
      <c r="M150" s="71"/>
      <c r="N150" s="71"/>
      <c r="O150" s="71"/>
      <c r="P150" s="70">
        <f t="shared" si="189"/>
        <v>43215</v>
      </c>
      <c r="Q150" s="87"/>
      <c r="R150" s="87"/>
      <c r="S150" s="86">
        <f t="shared" si="190"/>
        <v>200</v>
      </c>
      <c r="T150" s="86">
        <f t="shared" si="191"/>
        <v>75</v>
      </c>
      <c r="U150" s="86"/>
      <c r="V150" s="86"/>
      <c r="W150" s="86">
        <v>2625</v>
      </c>
      <c r="X150" s="86">
        <f t="shared" si="192"/>
        <v>2900</v>
      </c>
      <c r="Y150" s="86">
        <f t="shared" si="193"/>
        <v>40315</v>
      </c>
      <c r="Z150" s="174" t="s">
        <v>403</v>
      </c>
      <c r="AA150" s="90" t="s">
        <v>404</v>
      </c>
    </row>
    <row r="151" ht="24" customHeight="1" spans="1:27">
      <c r="A151" s="68">
        <v>135</v>
      </c>
      <c r="B151" s="69" t="s">
        <v>405</v>
      </c>
      <c r="C151" s="70" t="s">
        <v>406</v>
      </c>
      <c r="D151" s="71">
        <v>73005</v>
      </c>
      <c r="E151" s="71"/>
      <c r="F151" s="71">
        <f t="shared" si="184"/>
        <v>47619</v>
      </c>
      <c r="G151" s="71"/>
      <c r="H151" s="71">
        <f t="shared" si="185"/>
        <v>47619</v>
      </c>
      <c r="I151" s="72">
        <v>29</v>
      </c>
      <c r="J151" s="71">
        <f t="shared" si="186"/>
        <v>44546.8064516129</v>
      </c>
      <c r="K151" s="71">
        <f t="shared" si="187"/>
        <v>16620</v>
      </c>
      <c r="L151" s="71">
        <f t="shared" si="188"/>
        <v>7127</v>
      </c>
      <c r="M151" s="71"/>
      <c r="N151" s="71"/>
      <c r="O151" s="71"/>
      <c r="P151" s="70">
        <f t="shared" si="189"/>
        <v>68294</v>
      </c>
      <c r="Q151" s="71"/>
      <c r="R151" s="71">
        <v>0</v>
      </c>
      <c r="S151" s="70">
        <f t="shared" si="190"/>
        <v>200</v>
      </c>
      <c r="T151" s="70">
        <f t="shared" si="191"/>
        <v>75</v>
      </c>
      <c r="U151" s="70"/>
      <c r="V151" s="70"/>
      <c r="W151" s="70">
        <v>2625</v>
      </c>
      <c r="X151" s="70">
        <f t="shared" si="192"/>
        <v>2900</v>
      </c>
      <c r="Y151" s="70">
        <f t="shared" si="193"/>
        <v>65394</v>
      </c>
      <c r="Z151" s="172" t="s">
        <v>407</v>
      </c>
      <c r="AA151" s="67" t="s">
        <v>408</v>
      </c>
    </row>
    <row r="152" ht="24" customHeight="1" spans="1:27">
      <c r="A152" s="68">
        <v>136</v>
      </c>
      <c r="B152" s="69" t="s">
        <v>409</v>
      </c>
      <c r="C152" s="70" t="s">
        <v>410</v>
      </c>
      <c r="D152" s="71">
        <v>46653</v>
      </c>
      <c r="E152" s="71"/>
      <c r="F152" s="71">
        <f t="shared" ref="F152:F186" si="194">ROUND(D152/1.5331,0)</f>
        <v>30431</v>
      </c>
      <c r="G152" s="71"/>
      <c r="H152" s="71">
        <f t="shared" ref="H152:H158" si="195">G152+F152</f>
        <v>30431</v>
      </c>
      <c r="I152" s="93">
        <v>31</v>
      </c>
      <c r="J152" s="71">
        <f t="shared" ref="J152:J186" si="196">F152/I$4*I152</f>
        <v>30431</v>
      </c>
      <c r="K152" s="71">
        <f t="shared" ref="K152:K186" si="197">ROUND(J152*37.31%,0)</f>
        <v>11354</v>
      </c>
      <c r="L152" s="71">
        <f t="shared" ref="L152:L186" si="198">ROUND(J152*16%,0)</f>
        <v>4869</v>
      </c>
      <c r="M152" s="71"/>
      <c r="N152" s="71"/>
      <c r="O152" s="71"/>
      <c r="P152" s="70">
        <f t="shared" ref="P152:P186" si="199">ROUNDUP(J152+K152+L152+M152+N152+O152,0)</f>
        <v>46654</v>
      </c>
      <c r="Q152" s="71"/>
      <c r="R152" s="71">
        <v>0</v>
      </c>
      <c r="S152" s="70">
        <f t="shared" ref="S152:S173" si="200">IF(P152&gt;20001,200,IF(P152&gt;15001,150,IF(P152&lt;15000,0,)))</f>
        <v>200</v>
      </c>
      <c r="T152" s="70">
        <f t="shared" ref="T152:T173" si="201">IF(P152,IF(1,75),IF(1,0))</f>
        <v>75</v>
      </c>
      <c r="U152" s="70"/>
      <c r="V152" s="70"/>
      <c r="W152" s="70">
        <v>958</v>
      </c>
      <c r="X152" s="70">
        <f t="shared" ref="X152:X184" si="202">SUM(Q152:W152)</f>
        <v>1233</v>
      </c>
      <c r="Y152" s="70">
        <f t="shared" ref="Y152:Y184" si="203">P152-X152</f>
        <v>45421</v>
      </c>
      <c r="Z152" s="172" t="s">
        <v>411</v>
      </c>
      <c r="AA152" s="67" t="s">
        <v>45</v>
      </c>
    </row>
    <row r="153" ht="24" customHeight="1" spans="1:27">
      <c r="A153" s="68">
        <v>137</v>
      </c>
      <c r="B153" s="69" t="s">
        <v>412</v>
      </c>
      <c r="C153" s="70" t="s">
        <v>74</v>
      </c>
      <c r="D153" s="71">
        <v>60622</v>
      </c>
      <c r="E153" s="71"/>
      <c r="F153" s="71">
        <f t="shared" si="194"/>
        <v>39542</v>
      </c>
      <c r="G153" s="71"/>
      <c r="H153" s="71">
        <f t="shared" si="195"/>
        <v>39542</v>
      </c>
      <c r="I153" s="93">
        <v>31</v>
      </c>
      <c r="J153" s="71">
        <f t="shared" si="196"/>
        <v>39542</v>
      </c>
      <c r="K153" s="71">
        <f t="shared" si="197"/>
        <v>14753</v>
      </c>
      <c r="L153" s="71">
        <f t="shared" si="198"/>
        <v>6327</v>
      </c>
      <c r="M153" s="71"/>
      <c r="N153" s="71"/>
      <c r="O153" s="71"/>
      <c r="P153" s="70">
        <f t="shared" si="199"/>
        <v>60622</v>
      </c>
      <c r="Q153" s="71"/>
      <c r="R153" s="71"/>
      <c r="S153" s="70">
        <f t="shared" si="200"/>
        <v>200</v>
      </c>
      <c r="T153" s="70">
        <f t="shared" si="201"/>
        <v>75</v>
      </c>
      <c r="U153" s="70"/>
      <c r="V153" s="70"/>
      <c r="W153" s="70"/>
      <c r="X153" s="70">
        <f t="shared" si="202"/>
        <v>275</v>
      </c>
      <c r="Y153" s="70">
        <f t="shared" si="203"/>
        <v>60347</v>
      </c>
      <c r="Z153" s="172" t="s">
        <v>413</v>
      </c>
      <c r="AA153" s="67" t="s">
        <v>45</v>
      </c>
    </row>
    <row r="154" ht="24" customHeight="1" spans="1:27">
      <c r="A154" s="68">
        <v>138</v>
      </c>
      <c r="B154" s="69" t="s">
        <v>414</v>
      </c>
      <c r="C154" s="70" t="s">
        <v>415</v>
      </c>
      <c r="D154" s="71">
        <v>46201</v>
      </c>
      <c r="E154" s="71"/>
      <c r="F154" s="71">
        <f t="shared" si="194"/>
        <v>30136</v>
      </c>
      <c r="G154" s="71"/>
      <c r="H154" s="71">
        <f t="shared" si="195"/>
        <v>30136</v>
      </c>
      <c r="I154" s="93">
        <v>31</v>
      </c>
      <c r="J154" s="71">
        <f t="shared" si="196"/>
        <v>30136</v>
      </c>
      <c r="K154" s="71">
        <f t="shared" si="197"/>
        <v>11244</v>
      </c>
      <c r="L154" s="71">
        <f t="shared" si="198"/>
        <v>4822</v>
      </c>
      <c r="M154" s="71"/>
      <c r="N154" s="71"/>
      <c r="O154" s="71"/>
      <c r="P154" s="70">
        <f t="shared" si="199"/>
        <v>46202</v>
      </c>
      <c r="Q154" s="71"/>
      <c r="R154" s="71"/>
      <c r="S154" s="70">
        <f t="shared" si="200"/>
        <v>200</v>
      </c>
      <c r="T154" s="70">
        <f t="shared" si="201"/>
        <v>75</v>
      </c>
      <c r="U154" s="70"/>
      <c r="V154" s="70"/>
      <c r="W154" s="70">
        <v>2275</v>
      </c>
      <c r="X154" s="70">
        <f t="shared" si="202"/>
        <v>2550</v>
      </c>
      <c r="Y154" s="70">
        <f t="shared" si="203"/>
        <v>43652</v>
      </c>
      <c r="Z154" s="172" t="s">
        <v>416</v>
      </c>
      <c r="AA154" s="185" t="s">
        <v>80</v>
      </c>
    </row>
    <row r="155" s="47" customFormat="1" ht="24" customHeight="1" spans="1:27">
      <c r="A155" s="76">
        <v>139</v>
      </c>
      <c r="B155" s="135" t="s">
        <v>417</v>
      </c>
      <c r="C155" s="136" t="s">
        <v>415</v>
      </c>
      <c r="D155" s="135">
        <v>82035</v>
      </c>
      <c r="E155" s="135"/>
      <c r="F155" s="80">
        <f t="shared" si="194"/>
        <v>53509</v>
      </c>
      <c r="G155" s="135"/>
      <c r="H155" s="136">
        <f t="shared" si="195"/>
        <v>53509</v>
      </c>
      <c r="I155" s="81">
        <v>31</v>
      </c>
      <c r="J155" s="80">
        <f t="shared" si="196"/>
        <v>53509</v>
      </c>
      <c r="K155" s="80">
        <f t="shared" si="197"/>
        <v>19964</v>
      </c>
      <c r="L155" s="80">
        <f t="shared" si="198"/>
        <v>8561</v>
      </c>
      <c r="M155" s="80"/>
      <c r="N155" s="80"/>
      <c r="O155" s="80"/>
      <c r="P155" s="136">
        <f t="shared" si="199"/>
        <v>82034</v>
      </c>
      <c r="Q155" s="135"/>
      <c r="R155" s="135"/>
      <c r="S155" s="135">
        <f t="shared" si="200"/>
        <v>200</v>
      </c>
      <c r="T155" s="135">
        <f t="shared" si="201"/>
        <v>75</v>
      </c>
      <c r="U155" s="135"/>
      <c r="V155" s="135"/>
      <c r="W155" s="135"/>
      <c r="X155" s="135">
        <f t="shared" si="202"/>
        <v>275</v>
      </c>
      <c r="Y155" s="135">
        <f t="shared" si="203"/>
        <v>81759</v>
      </c>
      <c r="Z155" s="140" t="s">
        <v>418</v>
      </c>
      <c r="AA155" s="136" t="s">
        <v>156</v>
      </c>
    </row>
    <row r="156" ht="24" customHeight="1" spans="1:27">
      <c r="A156" s="68">
        <v>140</v>
      </c>
      <c r="B156" s="69" t="s">
        <v>419</v>
      </c>
      <c r="C156" s="70" t="s">
        <v>61</v>
      </c>
      <c r="D156" s="71">
        <v>32000</v>
      </c>
      <c r="E156" s="71">
        <v>32000</v>
      </c>
      <c r="F156" s="71">
        <f t="shared" si="194"/>
        <v>20873</v>
      </c>
      <c r="G156" s="71"/>
      <c r="H156" s="71"/>
      <c r="I156" s="93">
        <v>31</v>
      </c>
      <c r="J156" s="71">
        <f t="shared" si="196"/>
        <v>20873</v>
      </c>
      <c r="K156" s="71">
        <f t="shared" si="197"/>
        <v>7788</v>
      </c>
      <c r="L156" s="71">
        <f t="shared" si="198"/>
        <v>3340</v>
      </c>
      <c r="M156" s="71"/>
      <c r="N156" s="71"/>
      <c r="O156" s="71"/>
      <c r="P156" s="70">
        <f t="shared" si="199"/>
        <v>32001</v>
      </c>
      <c r="Q156" s="71"/>
      <c r="R156" s="71"/>
      <c r="S156" s="70">
        <f t="shared" si="200"/>
        <v>200</v>
      </c>
      <c r="T156" s="70">
        <f t="shared" si="201"/>
        <v>75</v>
      </c>
      <c r="U156" s="70">
        <v>1400</v>
      </c>
      <c r="V156" s="69">
        <v>4000</v>
      </c>
      <c r="W156" s="70"/>
      <c r="X156" s="70">
        <f t="shared" si="202"/>
        <v>5675</v>
      </c>
      <c r="Y156" s="70">
        <f t="shared" si="203"/>
        <v>26326</v>
      </c>
      <c r="Z156" s="172" t="s">
        <v>420</v>
      </c>
      <c r="AA156" s="185" t="s">
        <v>421</v>
      </c>
    </row>
    <row r="157" ht="24" customHeight="1" spans="1:27">
      <c r="A157" s="68">
        <v>141</v>
      </c>
      <c r="B157" s="69" t="s">
        <v>422</v>
      </c>
      <c r="C157" s="70" t="s">
        <v>61</v>
      </c>
      <c r="D157" s="71">
        <v>43196</v>
      </c>
      <c r="E157" s="71"/>
      <c r="F157" s="71">
        <f t="shared" si="194"/>
        <v>28176</v>
      </c>
      <c r="G157" s="71"/>
      <c r="H157" s="71">
        <f>F157+G157</f>
        <v>28176</v>
      </c>
      <c r="I157" s="93">
        <v>31</v>
      </c>
      <c r="J157" s="71">
        <f t="shared" si="196"/>
        <v>28176</v>
      </c>
      <c r="K157" s="71">
        <f t="shared" si="197"/>
        <v>10512</v>
      </c>
      <c r="L157" s="71">
        <f t="shared" si="198"/>
        <v>4508</v>
      </c>
      <c r="M157" s="71"/>
      <c r="N157" s="71"/>
      <c r="O157" s="71"/>
      <c r="P157" s="70">
        <f t="shared" si="199"/>
        <v>43196</v>
      </c>
      <c r="Q157" s="71"/>
      <c r="R157" s="71"/>
      <c r="S157" s="70">
        <f t="shared" si="200"/>
        <v>200</v>
      </c>
      <c r="T157" s="70">
        <f t="shared" si="201"/>
        <v>75</v>
      </c>
      <c r="U157" s="70"/>
      <c r="V157" s="70"/>
      <c r="W157" s="70"/>
      <c r="X157" s="70">
        <f t="shared" si="202"/>
        <v>275</v>
      </c>
      <c r="Y157" s="70">
        <f t="shared" si="203"/>
        <v>42921</v>
      </c>
      <c r="Z157" s="172" t="s">
        <v>423</v>
      </c>
      <c r="AA157" s="185" t="s">
        <v>45</v>
      </c>
    </row>
    <row r="158" ht="24" customHeight="1" spans="1:27">
      <c r="A158" s="68">
        <v>142</v>
      </c>
      <c r="B158" s="69" t="s">
        <v>424</v>
      </c>
      <c r="C158" s="70" t="s">
        <v>74</v>
      </c>
      <c r="D158" s="70">
        <v>42619</v>
      </c>
      <c r="E158" s="70"/>
      <c r="F158" s="71">
        <f t="shared" si="194"/>
        <v>27799</v>
      </c>
      <c r="G158" s="71"/>
      <c r="H158" s="71">
        <f t="shared" si="195"/>
        <v>27799</v>
      </c>
      <c r="I158" s="72">
        <v>31</v>
      </c>
      <c r="J158" s="71">
        <f t="shared" si="196"/>
        <v>27799</v>
      </c>
      <c r="K158" s="71">
        <f t="shared" si="197"/>
        <v>10372</v>
      </c>
      <c r="L158" s="71">
        <f t="shared" si="198"/>
        <v>4448</v>
      </c>
      <c r="M158" s="71"/>
      <c r="N158" s="71"/>
      <c r="O158" s="71"/>
      <c r="P158" s="70">
        <f t="shared" si="199"/>
        <v>42619</v>
      </c>
      <c r="Q158" s="71">
        <v>3600</v>
      </c>
      <c r="R158" s="71"/>
      <c r="S158" s="70">
        <f t="shared" si="200"/>
        <v>200</v>
      </c>
      <c r="T158" s="70">
        <f t="shared" si="201"/>
        <v>75</v>
      </c>
      <c r="U158" s="70"/>
      <c r="V158" s="70"/>
      <c r="W158" s="70"/>
      <c r="X158" s="70">
        <f t="shared" si="202"/>
        <v>3875</v>
      </c>
      <c r="Y158" s="70">
        <f t="shared" si="203"/>
        <v>38744</v>
      </c>
      <c r="Z158" s="172" t="s">
        <v>425</v>
      </c>
      <c r="AA158" s="67" t="s">
        <v>45</v>
      </c>
    </row>
    <row r="159" ht="24" customHeight="1" spans="1:27">
      <c r="A159" s="68">
        <v>143</v>
      </c>
      <c r="B159" s="69" t="s">
        <v>426</v>
      </c>
      <c r="C159" s="70" t="s">
        <v>61</v>
      </c>
      <c r="D159" s="71">
        <v>38000</v>
      </c>
      <c r="E159" s="71">
        <v>38000</v>
      </c>
      <c r="F159" s="71">
        <f t="shared" si="194"/>
        <v>24786</v>
      </c>
      <c r="G159" s="71"/>
      <c r="H159" s="71"/>
      <c r="I159" s="72">
        <v>31</v>
      </c>
      <c r="J159" s="71">
        <f t="shared" si="196"/>
        <v>24786</v>
      </c>
      <c r="K159" s="71">
        <f t="shared" si="197"/>
        <v>9248</v>
      </c>
      <c r="L159" s="71">
        <f t="shared" si="198"/>
        <v>3966</v>
      </c>
      <c r="M159" s="71"/>
      <c r="N159" s="71"/>
      <c r="O159" s="71"/>
      <c r="P159" s="70">
        <f t="shared" si="199"/>
        <v>38000</v>
      </c>
      <c r="Q159" s="71"/>
      <c r="R159" s="71"/>
      <c r="S159" s="70">
        <f t="shared" ref="S159:S171" si="204">IF(P159&gt;20001,200,IF(P159&gt;15001,150,IF(P159&lt;15000,0,)))</f>
        <v>200</v>
      </c>
      <c r="T159" s="70">
        <f t="shared" ref="T159:T171" si="205">IF(P159,IF(1,75),IF(1,0))</f>
        <v>75</v>
      </c>
      <c r="U159" s="70">
        <v>497</v>
      </c>
      <c r="V159" s="69"/>
      <c r="W159" s="70"/>
      <c r="X159" s="70">
        <f t="shared" si="202"/>
        <v>772</v>
      </c>
      <c r="Y159" s="70">
        <f t="shared" si="203"/>
        <v>37228</v>
      </c>
      <c r="Z159" s="172" t="s">
        <v>427</v>
      </c>
      <c r="AA159" s="185" t="s">
        <v>428</v>
      </c>
    </row>
    <row r="160" ht="24" customHeight="1" spans="1:27">
      <c r="A160" s="68">
        <v>144</v>
      </c>
      <c r="B160" s="69" t="s">
        <v>429</v>
      </c>
      <c r="C160" s="70" t="s">
        <v>225</v>
      </c>
      <c r="D160" s="71">
        <v>37000</v>
      </c>
      <c r="E160" s="71">
        <v>37000</v>
      </c>
      <c r="F160" s="71">
        <f t="shared" si="194"/>
        <v>24134</v>
      </c>
      <c r="G160" s="71"/>
      <c r="H160" s="71"/>
      <c r="I160" s="72">
        <v>30.5</v>
      </c>
      <c r="J160" s="71">
        <f t="shared" si="196"/>
        <v>23744.7419354839</v>
      </c>
      <c r="K160" s="71">
        <f t="shared" si="197"/>
        <v>8859</v>
      </c>
      <c r="L160" s="71">
        <f t="shared" si="198"/>
        <v>3799</v>
      </c>
      <c r="M160" s="71"/>
      <c r="N160" s="71"/>
      <c r="O160" s="71"/>
      <c r="P160" s="70">
        <f t="shared" si="199"/>
        <v>36403</v>
      </c>
      <c r="Q160" s="71"/>
      <c r="R160" s="71"/>
      <c r="S160" s="70">
        <f t="shared" si="204"/>
        <v>200</v>
      </c>
      <c r="T160" s="70">
        <f t="shared" si="205"/>
        <v>75</v>
      </c>
      <c r="U160" s="70"/>
      <c r="V160" s="70"/>
      <c r="W160" s="70">
        <v>1584</v>
      </c>
      <c r="X160" s="70">
        <f t="shared" si="202"/>
        <v>1859</v>
      </c>
      <c r="Y160" s="70">
        <f t="shared" si="203"/>
        <v>34544</v>
      </c>
      <c r="Z160" s="177" t="s">
        <v>430</v>
      </c>
      <c r="AA160" s="105" t="s">
        <v>431</v>
      </c>
    </row>
    <row r="161" ht="24" customHeight="1" spans="1:27">
      <c r="A161" s="68">
        <v>145</v>
      </c>
      <c r="B161" s="69" t="s">
        <v>432</v>
      </c>
      <c r="C161" s="70" t="s">
        <v>61</v>
      </c>
      <c r="D161" s="70">
        <v>31000</v>
      </c>
      <c r="E161" s="70">
        <v>31000</v>
      </c>
      <c r="F161" s="71">
        <f t="shared" si="194"/>
        <v>20220</v>
      </c>
      <c r="G161" s="71"/>
      <c r="H161" s="71"/>
      <c r="I161" s="72">
        <v>31</v>
      </c>
      <c r="J161" s="71">
        <f t="shared" si="196"/>
        <v>20220</v>
      </c>
      <c r="K161" s="71">
        <f t="shared" si="197"/>
        <v>7544</v>
      </c>
      <c r="L161" s="71">
        <f t="shared" si="198"/>
        <v>3235</v>
      </c>
      <c r="M161" s="71"/>
      <c r="N161" s="71"/>
      <c r="O161" s="71"/>
      <c r="P161" s="70">
        <f t="shared" si="199"/>
        <v>30999</v>
      </c>
      <c r="Q161" s="71"/>
      <c r="R161" s="71"/>
      <c r="S161" s="70">
        <f t="shared" si="204"/>
        <v>200</v>
      </c>
      <c r="T161" s="70">
        <f t="shared" si="205"/>
        <v>75</v>
      </c>
      <c r="U161" s="70"/>
      <c r="V161" s="70"/>
      <c r="W161" s="70"/>
      <c r="X161" s="70">
        <f t="shared" si="202"/>
        <v>275</v>
      </c>
      <c r="Y161" s="70">
        <f t="shared" si="203"/>
        <v>30724</v>
      </c>
      <c r="Z161" s="172" t="s">
        <v>433</v>
      </c>
      <c r="AA161" s="185" t="s">
        <v>53</v>
      </c>
    </row>
    <row r="162" ht="24" customHeight="1" spans="1:27">
      <c r="A162" s="68">
        <v>146</v>
      </c>
      <c r="B162" s="69" t="s">
        <v>434</v>
      </c>
      <c r="C162" s="70" t="s">
        <v>61</v>
      </c>
      <c r="D162" s="70">
        <v>41180</v>
      </c>
      <c r="E162" s="70">
        <v>36180</v>
      </c>
      <c r="F162" s="71">
        <f>ROUND(E162/1.5331,0)</f>
        <v>23599</v>
      </c>
      <c r="G162" s="71"/>
      <c r="H162" s="71">
        <f t="shared" ref="H162" si="206">G162+F162</f>
        <v>23599</v>
      </c>
      <c r="I162" s="72">
        <v>31</v>
      </c>
      <c r="J162" s="71">
        <f t="shared" si="196"/>
        <v>23599</v>
      </c>
      <c r="K162" s="71">
        <f t="shared" si="197"/>
        <v>8805</v>
      </c>
      <c r="L162" s="71">
        <f t="shared" si="198"/>
        <v>3776</v>
      </c>
      <c r="M162" s="71"/>
      <c r="N162" s="71"/>
      <c r="O162" s="71">
        <v>5000</v>
      </c>
      <c r="P162" s="70">
        <f t="shared" si="199"/>
        <v>41180</v>
      </c>
      <c r="Q162" s="71"/>
      <c r="R162" s="71"/>
      <c r="S162" s="70">
        <f t="shared" si="204"/>
        <v>200</v>
      </c>
      <c r="T162" s="70">
        <f t="shared" si="205"/>
        <v>75</v>
      </c>
      <c r="U162" s="70"/>
      <c r="V162" s="70"/>
      <c r="W162" s="70">
        <v>958</v>
      </c>
      <c r="X162" s="70">
        <f t="shared" si="202"/>
        <v>1233</v>
      </c>
      <c r="Y162" s="70">
        <f t="shared" si="203"/>
        <v>39947</v>
      </c>
      <c r="Z162" s="172" t="s">
        <v>435</v>
      </c>
      <c r="AA162" s="185" t="s">
        <v>45</v>
      </c>
    </row>
    <row r="163" s="43" customFormat="1" ht="24" customHeight="1" spans="1:27">
      <c r="A163" s="68">
        <v>147</v>
      </c>
      <c r="B163" s="97" t="s">
        <v>436</v>
      </c>
      <c r="C163" s="98" t="s">
        <v>82</v>
      </c>
      <c r="D163" s="99">
        <v>50001</v>
      </c>
      <c r="E163" s="99">
        <v>35000</v>
      </c>
      <c r="F163" s="99">
        <f>ROUND(E163/1.5331,0)</f>
        <v>22830</v>
      </c>
      <c r="G163" s="99"/>
      <c r="H163" s="99"/>
      <c r="I163" s="100">
        <v>31</v>
      </c>
      <c r="J163" s="99">
        <f t="shared" si="196"/>
        <v>22830</v>
      </c>
      <c r="K163" s="99">
        <f t="shared" si="197"/>
        <v>8518</v>
      </c>
      <c r="L163" s="99">
        <f t="shared" si="198"/>
        <v>3653</v>
      </c>
      <c r="M163" s="131"/>
      <c r="N163" s="99"/>
      <c r="O163" s="99">
        <v>15000</v>
      </c>
      <c r="P163" s="98">
        <f t="shared" si="199"/>
        <v>50001</v>
      </c>
      <c r="Q163" s="99"/>
      <c r="R163" s="99"/>
      <c r="S163" s="98">
        <f t="shared" si="204"/>
        <v>200</v>
      </c>
      <c r="T163" s="98">
        <f t="shared" si="205"/>
        <v>75</v>
      </c>
      <c r="U163" s="98"/>
      <c r="V163" s="98"/>
      <c r="W163" s="98"/>
      <c r="X163" s="98">
        <f t="shared" si="202"/>
        <v>275</v>
      </c>
      <c r="Y163" s="98">
        <f t="shared" si="203"/>
        <v>49726</v>
      </c>
      <c r="Z163" s="178" t="s">
        <v>437</v>
      </c>
      <c r="AA163" s="186" t="s">
        <v>438</v>
      </c>
    </row>
    <row r="164" ht="24" customHeight="1" spans="1:27">
      <c r="A164" s="68">
        <v>148</v>
      </c>
      <c r="B164" s="69" t="s">
        <v>439</v>
      </c>
      <c r="C164" s="70" t="s">
        <v>82</v>
      </c>
      <c r="D164" s="71">
        <v>34020</v>
      </c>
      <c r="E164" s="71"/>
      <c r="F164" s="71">
        <f t="shared" si="194"/>
        <v>22190</v>
      </c>
      <c r="G164" s="71"/>
      <c r="H164" s="71">
        <f>G164+F164</f>
        <v>22190</v>
      </c>
      <c r="I164" s="72">
        <v>31</v>
      </c>
      <c r="J164" s="71">
        <f t="shared" si="196"/>
        <v>22190</v>
      </c>
      <c r="K164" s="71">
        <f t="shared" si="197"/>
        <v>8279</v>
      </c>
      <c r="L164" s="71">
        <f t="shared" si="198"/>
        <v>3550</v>
      </c>
      <c r="M164" s="71"/>
      <c r="N164" s="71"/>
      <c r="O164" s="71"/>
      <c r="P164" s="70">
        <f t="shared" si="199"/>
        <v>34019</v>
      </c>
      <c r="Q164" s="71"/>
      <c r="R164" s="71"/>
      <c r="S164" s="70">
        <f t="shared" si="204"/>
        <v>200</v>
      </c>
      <c r="T164" s="70">
        <f t="shared" si="205"/>
        <v>75</v>
      </c>
      <c r="U164" s="70"/>
      <c r="V164" s="70"/>
      <c r="W164" s="70">
        <v>958</v>
      </c>
      <c r="X164" s="70">
        <f t="shared" si="202"/>
        <v>1233</v>
      </c>
      <c r="Y164" s="70">
        <f t="shared" si="203"/>
        <v>32786</v>
      </c>
      <c r="Z164" s="172" t="s">
        <v>440</v>
      </c>
      <c r="AA164" s="185" t="s">
        <v>45</v>
      </c>
    </row>
    <row r="165" ht="24" customHeight="1" spans="1:27">
      <c r="A165" s="68">
        <v>149</v>
      </c>
      <c r="B165" s="69" t="s">
        <v>441</v>
      </c>
      <c r="C165" s="70" t="s">
        <v>82</v>
      </c>
      <c r="D165" s="71">
        <v>32500</v>
      </c>
      <c r="E165" s="71">
        <v>32500</v>
      </c>
      <c r="F165" s="71">
        <f t="shared" si="194"/>
        <v>21199</v>
      </c>
      <c r="G165" s="71"/>
      <c r="H165" s="71"/>
      <c r="I165" s="72">
        <v>31</v>
      </c>
      <c r="J165" s="71">
        <f t="shared" si="196"/>
        <v>21199</v>
      </c>
      <c r="K165" s="71">
        <f t="shared" si="197"/>
        <v>7909</v>
      </c>
      <c r="L165" s="71">
        <f t="shared" si="198"/>
        <v>3392</v>
      </c>
      <c r="M165" s="71"/>
      <c r="N165" s="71"/>
      <c r="O165" s="71"/>
      <c r="P165" s="70">
        <f t="shared" si="199"/>
        <v>32500</v>
      </c>
      <c r="Q165" s="71"/>
      <c r="R165" s="71"/>
      <c r="S165" s="70">
        <f t="shared" si="204"/>
        <v>200</v>
      </c>
      <c r="T165" s="70">
        <f t="shared" si="205"/>
        <v>75</v>
      </c>
      <c r="U165" s="70"/>
      <c r="V165" s="70"/>
      <c r="W165" s="70"/>
      <c r="X165" s="70">
        <f t="shared" si="202"/>
        <v>275</v>
      </c>
      <c r="Y165" s="70">
        <f t="shared" si="203"/>
        <v>32225</v>
      </c>
      <c r="Z165" s="172" t="s">
        <v>442</v>
      </c>
      <c r="AA165" s="185" t="s">
        <v>443</v>
      </c>
    </row>
    <row r="166" ht="24" customHeight="1" spans="1:27">
      <c r="A166" s="68">
        <v>150</v>
      </c>
      <c r="B166" s="69" t="s">
        <v>444</v>
      </c>
      <c r="C166" s="70" t="s">
        <v>82</v>
      </c>
      <c r="D166" s="71">
        <v>27000</v>
      </c>
      <c r="E166" s="71">
        <v>27000</v>
      </c>
      <c r="F166" s="71">
        <f t="shared" si="194"/>
        <v>17611</v>
      </c>
      <c r="G166" s="71"/>
      <c r="H166" s="71"/>
      <c r="I166" s="72">
        <v>24</v>
      </c>
      <c r="J166" s="71">
        <f t="shared" si="196"/>
        <v>13634.3225806452</v>
      </c>
      <c r="K166" s="71">
        <f t="shared" si="197"/>
        <v>5087</v>
      </c>
      <c r="L166" s="71">
        <f t="shared" si="198"/>
        <v>2181</v>
      </c>
      <c r="M166" s="71"/>
      <c r="N166" s="71"/>
      <c r="O166" s="71"/>
      <c r="P166" s="70">
        <f t="shared" si="199"/>
        <v>20903</v>
      </c>
      <c r="Q166" s="71"/>
      <c r="R166" s="71"/>
      <c r="S166" s="70">
        <f t="shared" si="204"/>
        <v>200</v>
      </c>
      <c r="T166" s="70">
        <f t="shared" si="205"/>
        <v>75</v>
      </c>
      <c r="U166" s="70"/>
      <c r="V166" s="70"/>
      <c r="W166" s="70">
        <v>2100</v>
      </c>
      <c r="X166" s="70">
        <f t="shared" si="202"/>
        <v>2375</v>
      </c>
      <c r="Y166" s="70">
        <f t="shared" si="203"/>
        <v>18528</v>
      </c>
      <c r="Z166" s="172" t="s">
        <v>445</v>
      </c>
      <c r="AA166" s="185" t="s">
        <v>446</v>
      </c>
    </row>
    <row r="167" ht="24" customHeight="1" spans="1:27">
      <c r="A167" s="68">
        <v>151</v>
      </c>
      <c r="B167" s="69" t="s">
        <v>447</v>
      </c>
      <c r="C167" s="70" t="s">
        <v>82</v>
      </c>
      <c r="D167" s="71">
        <v>26500</v>
      </c>
      <c r="E167" s="71">
        <v>26500</v>
      </c>
      <c r="F167" s="71">
        <f t="shared" si="194"/>
        <v>17285</v>
      </c>
      <c r="G167" s="71"/>
      <c r="H167" s="71"/>
      <c r="I167" s="72">
        <v>31</v>
      </c>
      <c r="J167" s="71">
        <f t="shared" si="196"/>
        <v>17285</v>
      </c>
      <c r="K167" s="71">
        <f t="shared" si="197"/>
        <v>6449</v>
      </c>
      <c r="L167" s="71">
        <f t="shared" si="198"/>
        <v>2766</v>
      </c>
      <c r="M167" s="71"/>
      <c r="N167" s="71"/>
      <c r="O167" s="71"/>
      <c r="P167" s="70">
        <f t="shared" si="199"/>
        <v>26500</v>
      </c>
      <c r="Q167" s="71"/>
      <c r="R167" s="71"/>
      <c r="S167" s="70">
        <f t="shared" si="204"/>
        <v>200</v>
      </c>
      <c r="T167" s="70">
        <f t="shared" si="205"/>
        <v>75</v>
      </c>
      <c r="U167" s="70"/>
      <c r="V167" s="70"/>
      <c r="W167" s="70"/>
      <c r="X167" s="70">
        <f t="shared" si="202"/>
        <v>275</v>
      </c>
      <c r="Y167" s="70">
        <f t="shared" si="203"/>
        <v>26225</v>
      </c>
      <c r="Z167" s="172" t="s">
        <v>448</v>
      </c>
      <c r="AA167" s="185" t="s">
        <v>449</v>
      </c>
    </row>
    <row r="168" ht="24" customHeight="1" spans="1:27">
      <c r="A168" s="68">
        <v>152</v>
      </c>
      <c r="B168" s="69" t="s">
        <v>450</v>
      </c>
      <c r="C168" s="70" t="s">
        <v>82</v>
      </c>
      <c r="D168" s="71">
        <v>23000</v>
      </c>
      <c r="E168" s="71">
        <v>23000</v>
      </c>
      <c r="F168" s="71">
        <f t="shared" si="194"/>
        <v>15002</v>
      </c>
      <c r="G168" s="71"/>
      <c r="H168" s="71"/>
      <c r="I168" s="72">
        <v>31</v>
      </c>
      <c r="J168" s="71">
        <f t="shared" si="196"/>
        <v>15002</v>
      </c>
      <c r="K168" s="71">
        <f t="shared" si="197"/>
        <v>5597</v>
      </c>
      <c r="L168" s="71">
        <f t="shared" si="198"/>
        <v>2400</v>
      </c>
      <c r="M168" s="71"/>
      <c r="N168" s="71"/>
      <c r="O168" s="71"/>
      <c r="P168" s="70">
        <f t="shared" si="199"/>
        <v>22999</v>
      </c>
      <c r="Q168" s="71"/>
      <c r="R168" s="71"/>
      <c r="S168" s="70">
        <f t="shared" si="204"/>
        <v>200</v>
      </c>
      <c r="T168" s="70">
        <f t="shared" si="205"/>
        <v>75</v>
      </c>
      <c r="U168" s="70"/>
      <c r="V168" s="70"/>
      <c r="W168" s="70"/>
      <c r="X168" s="70">
        <f t="shared" si="202"/>
        <v>275</v>
      </c>
      <c r="Y168" s="70">
        <f t="shared" si="203"/>
        <v>22724</v>
      </c>
      <c r="Z168" s="172" t="s">
        <v>451</v>
      </c>
      <c r="AA168" s="185" t="s">
        <v>452</v>
      </c>
    </row>
    <row r="169" ht="24" customHeight="1" spans="1:27">
      <c r="A169" s="68">
        <v>153</v>
      </c>
      <c r="B169" s="69" t="s">
        <v>453</v>
      </c>
      <c r="C169" s="70" t="s">
        <v>82</v>
      </c>
      <c r="D169" s="71">
        <v>22000</v>
      </c>
      <c r="E169" s="71">
        <v>22000</v>
      </c>
      <c r="F169" s="71">
        <f t="shared" si="194"/>
        <v>14350</v>
      </c>
      <c r="G169" s="71"/>
      <c r="H169" s="71"/>
      <c r="I169" s="72">
        <v>31</v>
      </c>
      <c r="J169" s="71">
        <f t="shared" si="196"/>
        <v>14350</v>
      </c>
      <c r="K169" s="71">
        <f t="shared" si="197"/>
        <v>5354</v>
      </c>
      <c r="L169" s="71">
        <f t="shared" si="198"/>
        <v>2296</v>
      </c>
      <c r="M169" s="71"/>
      <c r="N169" s="71"/>
      <c r="O169" s="71"/>
      <c r="P169" s="70">
        <f t="shared" si="199"/>
        <v>22000</v>
      </c>
      <c r="Q169" s="71"/>
      <c r="R169" s="71"/>
      <c r="S169" s="70">
        <f t="shared" si="204"/>
        <v>200</v>
      </c>
      <c r="T169" s="70">
        <f t="shared" si="205"/>
        <v>75</v>
      </c>
      <c r="U169" s="70">
        <v>168</v>
      </c>
      <c r="V169" s="70"/>
      <c r="W169" s="70"/>
      <c r="X169" s="70">
        <f t="shared" si="202"/>
        <v>443</v>
      </c>
      <c r="Y169" s="70">
        <f t="shared" si="203"/>
        <v>21557</v>
      </c>
      <c r="Z169" s="172" t="s">
        <v>454</v>
      </c>
      <c r="AA169" s="185" t="s">
        <v>455</v>
      </c>
    </row>
    <row r="170" ht="24" customHeight="1" spans="1:27">
      <c r="A170" s="68">
        <v>154</v>
      </c>
      <c r="B170" s="69" t="s">
        <v>456</v>
      </c>
      <c r="C170" s="70" t="s">
        <v>61</v>
      </c>
      <c r="D170" s="71">
        <v>25000</v>
      </c>
      <c r="E170" s="71">
        <v>25000</v>
      </c>
      <c r="F170" s="71">
        <f t="shared" si="194"/>
        <v>16307</v>
      </c>
      <c r="G170" s="71"/>
      <c r="H170" s="71"/>
      <c r="I170" s="72">
        <v>30</v>
      </c>
      <c r="J170" s="71">
        <f t="shared" si="196"/>
        <v>15780.9677419355</v>
      </c>
      <c r="K170" s="71">
        <f t="shared" si="197"/>
        <v>5888</v>
      </c>
      <c r="L170" s="71">
        <f t="shared" si="198"/>
        <v>2525</v>
      </c>
      <c r="M170" s="71"/>
      <c r="N170" s="71"/>
      <c r="O170" s="71"/>
      <c r="P170" s="70">
        <f t="shared" si="199"/>
        <v>24194</v>
      </c>
      <c r="Q170" s="71"/>
      <c r="R170" s="71"/>
      <c r="S170" s="70">
        <f t="shared" si="204"/>
        <v>200</v>
      </c>
      <c r="T170" s="70">
        <f t="shared" si="205"/>
        <v>75</v>
      </c>
      <c r="U170" s="70"/>
      <c r="V170" s="70"/>
      <c r="W170" s="70">
        <v>1584</v>
      </c>
      <c r="X170" s="70">
        <f t="shared" si="202"/>
        <v>1859</v>
      </c>
      <c r="Y170" s="70">
        <f t="shared" si="203"/>
        <v>22335</v>
      </c>
      <c r="Z170" s="172" t="s">
        <v>457</v>
      </c>
      <c r="AA170" s="185" t="s">
        <v>458</v>
      </c>
    </row>
    <row r="171" ht="24" customHeight="1" spans="1:27">
      <c r="A171" s="68">
        <v>155</v>
      </c>
      <c r="B171" s="69" t="s">
        <v>459</v>
      </c>
      <c r="C171" s="70" t="s">
        <v>61</v>
      </c>
      <c r="D171" s="71">
        <v>31000</v>
      </c>
      <c r="E171" s="71">
        <v>31000</v>
      </c>
      <c r="F171" s="71">
        <f t="shared" si="194"/>
        <v>20220</v>
      </c>
      <c r="G171" s="71"/>
      <c r="H171" s="71"/>
      <c r="I171" s="72">
        <v>31</v>
      </c>
      <c r="J171" s="71">
        <f t="shared" si="196"/>
        <v>20220</v>
      </c>
      <c r="K171" s="71">
        <f t="shared" si="197"/>
        <v>7544</v>
      </c>
      <c r="L171" s="71">
        <f t="shared" si="198"/>
        <v>3235</v>
      </c>
      <c r="M171" s="71"/>
      <c r="N171" s="71"/>
      <c r="O171" s="71"/>
      <c r="P171" s="70">
        <f t="shared" si="199"/>
        <v>30999</v>
      </c>
      <c r="Q171" s="71"/>
      <c r="R171" s="71"/>
      <c r="S171" s="70">
        <f t="shared" si="204"/>
        <v>200</v>
      </c>
      <c r="T171" s="70">
        <f t="shared" si="205"/>
        <v>75</v>
      </c>
      <c r="U171" s="70"/>
      <c r="V171" s="70"/>
      <c r="W171" s="70"/>
      <c r="X171" s="70">
        <f t="shared" si="202"/>
        <v>275</v>
      </c>
      <c r="Y171" s="70">
        <f t="shared" si="203"/>
        <v>30724</v>
      </c>
      <c r="Z171" s="172" t="s">
        <v>460</v>
      </c>
      <c r="AA171" s="185" t="s">
        <v>461</v>
      </c>
    </row>
    <row r="172" ht="24" customHeight="1" spans="1:27">
      <c r="A172" s="68">
        <v>156</v>
      </c>
      <c r="B172" s="69" t="s">
        <v>462</v>
      </c>
      <c r="C172" s="70" t="s">
        <v>82</v>
      </c>
      <c r="D172" s="71">
        <v>24000</v>
      </c>
      <c r="E172" s="71">
        <v>24000</v>
      </c>
      <c r="F172" s="71">
        <f t="shared" si="194"/>
        <v>15655</v>
      </c>
      <c r="G172" s="71"/>
      <c r="H172" s="71"/>
      <c r="I172" s="72">
        <v>29</v>
      </c>
      <c r="J172" s="71">
        <f t="shared" si="196"/>
        <v>14645</v>
      </c>
      <c r="K172" s="71">
        <f t="shared" si="197"/>
        <v>5464</v>
      </c>
      <c r="L172" s="71">
        <f t="shared" si="198"/>
        <v>2343</v>
      </c>
      <c r="M172" s="71"/>
      <c r="N172" s="71"/>
      <c r="O172" s="71"/>
      <c r="P172" s="70">
        <f t="shared" si="199"/>
        <v>22452</v>
      </c>
      <c r="Q172" s="71"/>
      <c r="R172" s="71"/>
      <c r="S172" s="70">
        <f t="shared" si="200"/>
        <v>200</v>
      </c>
      <c r="T172" s="70">
        <f t="shared" si="201"/>
        <v>75</v>
      </c>
      <c r="U172" s="70"/>
      <c r="V172" s="70"/>
      <c r="W172" s="70">
        <v>958</v>
      </c>
      <c r="X172" s="70">
        <f t="shared" si="202"/>
        <v>1233</v>
      </c>
      <c r="Y172" s="70">
        <f t="shared" si="203"/>
        <v>21219</v>
      </c>
      <c r="Z172" s="172" t="s">
        <v>463</v>
      </c>
      <c r="AA172" s="185" t="s">
        <v>205</v>
      </c>
    </row>
    <row r="173" ht="24" customHeight="1" spans="1:27">
      <c r="A173" s="68">
        <v>157</v>
      </c>
      <c r="B173" s="69" t="s">
        <v>464</v>
      </c>
      <c r="C173" s="70" t="s">
        <v>61</v>
      </c>
      <c r="D173" s="71">
        <v>37000</v>
      </c>
      <c r="E173" s="71">
        <v>33000</v>
      </c>
      <c r="F173" s="71">
        <f t="shared" si="194"/>
        <v>24134</v>
      </c>
      <c r="G173" s="71"/>
      <c r="H173" s="71"/>
      <c r="I173" s="72">
        <v>31</v>
      </c>
      <c r="J173" s="71">
        <f t="shared" si="196"/>
        <v>24134</v>
      </c>
      <c r="K173" s="71">
        <f t="shared" si="197"/>
        <v>9004</v>
      </c>
      <c r="L173" s="71">
        <f t="shared" si="198"/>
        <v>3861</v>
      </c>
      <c r="M173" s="71"/>
      <c r="N173" s="71"/>
      <c r="O173" s="71"/>
      <c r="P173" s="70">
        <f t="shared" si="199"/>
        <v>36999</v>
      </c>
      <c r="Q173" s="71"/>
      <c r="R173" s="71"/>
      <c r="S173" s="70">
        <f t="shared" si="200"/>
        <v>200</v>
      </c>
      <c r="T173" s="70">
        <f t="shared" si="201"/>
        <v>75</v>
      </c>
      <c r="U173" s="70"/>
      <c r="V173" s="70"/>
      <c r="W173" s="70">
        <v>1584</v>
      </c>
      <c r="X173" s="70">
        <f t="shared" si="202"/>
        <v>1859</v>
      </c>
      <c r="Y173" s="70">
        <f t="shared" si="203"/>
        <v>35140</v>
      </c>
      <c r="Z173" s="172" t="s">
        <v>465</v>
      </c>
      <c r="AA173" s="185" t="s">
        <v>466</v>
      </c>
    </row>
    <row r="174" ht="24" customHeight="1" spans="1:27">
      <c r="A174" s="68">
        <v>158</v>
      </c>
      <c r="B174" s="69" t="s">
        <v>467</v>
      </c>
      <c r="C174" s="70" t="s">
        <v>61</v>
      </c>
      <c r="D174" s="71">
        <v>23000</v>
      </c>
      <c r="E174" s="71">
        <v>23000</v>
      </c>
      <c r="F174" s="71">
        <f t="shared" si="194"/>
        <v>15002</v>
      </c>
      <c r="G174" s="71"/>
      <c r="H174" s="71"/>
      <c r="I174" s="72">
        <v>29</v>
      </c>
      <c r="J174" s="71">
        <f t="shared" si="196"/>
        <v>14034.1290322581</v>
      </c>
      <c r="K174" s="71">
        <f t="shared" si="197"/>
        <v>5236</v>
      </c>
      <c r="L174" s="71">
        <f t="shared" si="198"/>
        <v>2245</v>
      </c>
      <c r="M174" s="71"/>
      <c r="N174" s="71"/>
      <c r="O174" s="71"/>
      <c r="P174" s="70">
        <f t="shared" si="199"/>
        <v>21516</v>
      </c>
      <c r="Q174" s="71"/>
      <c r="R174" s="71"/>
      <c r="S174" s="70">
        <f t="shared" ref="S174" si="207">IF(P174&gt;20001,200,IF(P174&gt;15001,150,IF(P174&lt;15000,0,)))</f>
        <v>200</v>
      </c>
      <c r="T174" s="70">
        <f t="shared" ref="T174" si="208">IF(P174,IF(1,75),IF(1,0))</f>
        <v>75</v>
      </c>
      <c r="U174" s="70"/>
      <c r="V174" s="70"/>
      <c r="W174" s="70">
        <v>1584</v>
      </c>
      <c r="X174" s="70">
        <f t="shared" si="202"/>
        <v>1859</v>
      </c>
      <c r="Y174" s="70">
        <f t="shared" si="203"/>
        <v>19657</v>
      </c>
      <c r="Z174" s="172" t="s">
        <v>468</v>
      </c>
      <c r="AA174" s="105" t="s">
        <v>469</v>
      </c>
    </row>
    <row r="175" ht="24" customHeight="1" spans="1:27">
      <c r="A175" s="68">
        <v>159</v>
      </c>
      <c r="B175" s="69" t="s">
        <v>470</v>
      </c>
      <c r="C175" s="70" t="s">
        <v>225</v>
      </c>
      <c r="D175" s="71">
        <v>23000</v>
      </c>
      <c r="E175" s="71">
        <v>23000</v>
      </c>
      <c r="F175" s="71">
        <f t="shared" si="194"/>
        <v>15002</v>
      </c>
      <c r="G175" s="71"/>
      <c r="H175" s="71"/>
      <c r="I175" s="72">
        <v>31</v>
      </c>
      <c r="J175" s="71">
        <f t="shared" si="196"/>
        <v>15002</v>
      </c>
      <c r="K175" s="71">
        <f t="shared" si="197"/>
        <v>5597</v>
      </c>
      <c r="L175" s="71">
        <f t="shared" si="198"/>
        <v>2400</v>
      </c>
      <c r="M175" s="71"/>
      <c r="N175" s="71"/>
      <c r="O175" s="71"/>
      <c r="P175" s="70">
        <f t="shared" si="199"/>
        <v>22999</v>
      </c>
      <c r="Q175" s="71"/>
      <c r="R175" s="71"/>
      <c r="S175" s="70">
        <f t="shared" ref="S175:S176" si="209">IF(P175&gt;20001,200,IF(P175&gt;15001,150,IF(P175&lt;15000,0,)))</f>
        <v>200</v>
      </c>
      <c r="T175" s="70">
        <f t="shared" ref="T175:T176" si="210">IF(P175,IF(1,75),IF(1,0))</f>
        <v>75</v>
      </c>
      <c r="U175" s="70"/>
      <c r="V175" s="70"/>
      <c r="W175" s="70">
        <v>1584</v>
      </c>
      <c r="X175" s="70">
        <f t="shared" si="202"/>
        <v>1859</v>
      </c>
      <c r="Y175" s="70">
        <f t="shared" si="203"/>
        <v>21140</v>
      </c>
      <c r="Z175" s="172" t="s">
        <v>471</v>
      </c>
      <c r="AA175" s="185" t="s">
        <v>472</v>
      </c>
    </row>
    <row r="176" ht="24" customHeight="1" spans="1:27">
      <c r="A176" s="68">
        <v>160</v>
      </c>
      <c r="B176" s="69" t="s">
        <v>473</v>
      </c>
      <c r="C176" s="70" t="s">
        <v>225</v>
      </c>
      <c r="D176" s="71">
        <v>23000</v>
      </c>
      <c r="E176" s="71">
        <v>23000</v>
      </c>
      <c r="F176" s="71">
        <f t="shared" si="194"/>
        <v>15002</v>
      </c>
      <c r="G176" s="71"/>
      <c r="H176" s="71"/>
      <c r="I176" s="72">
        <v>31</v>
      </c>
      <c r="J176" s="71">
        <f t="shared" si="196"/>
        <v>15002</v>
      </c>
      <c r="K176" s="71">
        <f t="shared" si="197"/>
        <v>5597</v>
      </c>
      <c r="L176" s="71">
        <f t="shared" si="198"/>
        <v>2400</v>
      </c>
      <c r="M176" s="71"/>
      <c r="N176" s="71"/>
      <c r="O176" s="71"/>
      <c r="P176" s="70">
        <f t="shared" si="199"/>
        <v>22999</v>
      </c>
      <c r="Q176" s="71"/>
      <c r="R176" s="71"/>
      <c r="S176" s="70">
        <f t="shared" si="209"/>
        <v>200</v>
      </c>
      <c r="T176" s="70">
        <f t="shared" si="210"/>
        <v>75</v>
      </c>
      <c r="U176" s="70"/>
      <c r="V176" s="70"/>
      <c r="W176" s="70"/>
      <c r="X176" s="70">
        <f t="shared" si="202"/>
        <v>275</v>
      </c>
      <c r="Y176" s="70">
        <f t="shared" si="203"/>
        <v>22724</v>
      </c>
      <c r="Z176" s="172" t="s">
        <v>474</v>
      </c>
      <c r="AA176" s="185" t="s">
        <v>289</v>
      </c>
    </row>
    <row r="177" ht="24" customHeight="1" spans="1:27">
      <c r="A177" s="68">
        <v>161</v>
      </c>
      <c r="B177" s="69" t="s">
        <v>475</v>
      </c>
      <c r="C177" s="70" t="s">
        <v>61</v>
      </c>
      <c r="D177" s="71">
        <v>22000</v>
      </c>
      <c r="E177" s="71">
        <v>22000</v>
      </c>
      <c r="F177" s="71">
        <f t="shared" si="194"/>
        <v>14350</v>
      </c>
      <c r="G177" s="71"/>
      <c r="H177" s="71"/>
      <c r="I177" s="72">
        <v>29</v>
      </c>
      <c r="J177" s="71">
        <f t="shared" si="196"/>
        <v>13424.1935483871</v>
      </c>
      <c r="K177" s="71">
        <f t="shared" si="197"/>
        <v>5009</v>
      </c>
      <c r="L177" s="71">
        <f t="shared" si="198"/>
        <v>2148</v>
      </c>
      <c r="M177" s="71"/>
      <c r="N177" s="71"/>
      <c r="O177" s="71"/>
      <c r="P177" s="70">
        <f t="shared" si="199"/>
        <v>20582</v>
      </c>
      <c r="Q177" s="71"/>
      <c r="R177" s="71"/>
      <c r="S177" s="70">
        <f t="shared" ref="S177:S182" si="211">IF(P177&gt;20001,200,IF(P177&gt;15001,150,IF(P177&lt;15000,0,)))</f>
        <v>200</v>
      </c>
      <c r="T177" s="70">
        <f t="shared" ref="T177:T182" si="212">IF(P177,IF(1,75),IF(1,0))</f>
        <v>75</v>
      </c>
      <c r="U177" s="70"/>
      <c r="V177" s="70"/>
      <c r="W177" s="70"/>
      <c r="X177" s="70">
        <f t="shared" si="202"/>
        <v>275</v>
      </c>
      <c r="Y177" s="70">
        <f t="shared" si="203"/>
        <v>20307</v>
      </c>
      <c r="Z177" s="172" t="s">
        <v>476</v>
      </c>
      <c r="AA177" s="185" t="s">
        <v>220</v>
      </c>
    </row>
    <row r="178" ht="24" customHeight="1" spans="1:27">
      <c r="A178" s="68">
        <v>162</v>
      </c>
      <c r="B178" s="69" t="s">
        <v>477</v>
      </c>
      <c r="C178" s="70" t="s">
        <v>61</v>
      </c>
      <c r="D178" s="71">
        <v>15000</v>
      </c>
      <c r="E178" s="71">
        <v>15000</v>
      </c>
      <c r="F178" s="71">
        <f t="shared" si="194"/>
        <v>9784</v>
      </c>
      <c r="G178" s="71"/>
      <c r="H178" s="71"/>
      <c r="I178" s="72">
        <v>31</v>
      </c>
      <c r="J178" s="71">
        <f t="shared" si="196"/>
        <v>9784</v>
      </c>
      <c r="K178" s="71">
        <f t="shared" si="197"/>
        <v>3650</v>
      </c>
      <c r="L178" s="71">
        <f t="shared" si="198"/>
        <v>1565</v>
      </c>
      <c r="M178" s="71"/>
      <c r="N178" s="71"/>
      <c r="O178" s="71"/>
      <c r="P178" s="70">
        <f t="shared" si="199"/>
        <v>14999</v>
      </c>
      <c r="Q178" s="71"/>
      <c r="R178" s="71"/>
      <c r="S178" s="70">
        <f t="shared" si="211"/>
        <v>0</v>
      </c>
      <c r="T178" s="70">
        <f t="shared" si="212"/>
        <v>75</v>
      </c>
      <c r="U178" s="70">
        <v>182</v>
      </c>
      <c r="V178" s="70"/>
      <c r="W178" s="70"/>
      <c r="X178" s="70">
        <f t="shared" si="202"/>
        <v>257</v>
      </c>
      <c r="Y178" s="70">
        <f t="shared" si="203"/>
        <v>14742</v>
      </c>
      <c r="Z178" s="172" t="s">
        <v>478</v>
      </c>
      <c r="AA178" s="139" t="s">
        <v>479</v>
      </c>
    </row>
    <row r="179" ht="24" customHeight="1" spans="1:27">
      <c r="A179" s="68">
        <v>163</v>
      </c>
      <c r="B179" s="69" t="s">
        <v>480</v>
      </c>
      <c r="C179" s="70" t="s">
        <v>61</v>
      </c>
      <c r="D179" s="71">
        <v>22000</v>
      </c>
      <c r="E179" s="71">
        <v>22000</v>
      </c>
      <c r="F179" s="71">
        <f t="shared" ref="F179:F183" si="213">ROUND(D179/1.5331,0)</f>
        <v>14350</v>
      </c>
      <c r="G179" s="71"/>
      <c r="H179" s="71"/>
      <c r="I179" s="72">
        <v>31</v>
      </c>
      <c r="J179" s="71">
        <f t="shared" ref="J179:J183" si="214">F179/I$4*I179</f>
        <v>14350</v>
      </c>
      <c r="K179" s="71">
        <f t="shared" ref="K179:K183" si="215">ROUND(J179*37.31%,0)</f>
        <v>5354</v>
      </c>
      <c r="L179" s="71">
        <f t="shared" ref="L179:L183" si="216">ROUND(J179*16%,0)</f>
        <v>2296</v>
      </c>
      <c r="M179" s="71"/>
      <c r="N179" s="71"/>
      <c r="O179" s="71"/>
      <c r="P179" s="70">
        <f t="shared" ref="P179:P183" si="217">ROUNDUP(J179+K179+L179+M179+N179+O179,0)</f>
        <v>22000</v>
      </c>
      <c r="Q179" s="71"/>
      <c r="R179" s="71"/>
      <c r="S179" s="70">
        <f t="shared" si="211"/>
        <v>200</v>
      </c>
      <c r="T179" s="70">
        <f t="shared" si="212"/>
        <v>75</v>
      </c>
      <c r="U179" s="70"/>
      <c r="V179" s="70"/>
      <c r="W179" s="70">
        <v>1050</v>
      </c>
      <c r="X179" s="70">
        <f t="shared" ref="X179" si="218">SUM(Q179:W179)</f>
        <v>1325</v>
      </c>
      <c r="Y179" s="70">
        <f t="shared" ref="Y179:Y180" si="219">P179-X179</f>
        <v>20675</v>
      </c>
      <c r="Z179" s="172" t="s">
        <v>481</v>
      </c>
      <c r="AA179" s="139" t="s">
        <v>482</v>
      </c>
    </row>
    <row r="180" ht="24" customHeight="1" spans="1:27">
      <c r="A180" s="68">
        <v>164</v>
      </c>
      <c r="B180" s="69" t="s">
        <v>483</v>
      </c>
      <c r="C180" s="70" t="s">
        <v>61</v>
      </c>
      <c r="D180" s="71">
        <v>18000</v>
      </c>
      <c r="E180" s="71">
        <v>18000</v>
      </c>
      <c r="F180" s="71">
        <f t="shared" si="213"/>
        <v>11741</v>
      </c>
      <c r="G180" s="71"/>
      <c r="H180" s="71"/>
      <c r="I180" s="72">
        <v>29</v>
      </c>
      <c r="J180" s="71">
        <f t="shared" si="214"/>
        <v>10983.5161290323</v>
      </c>
      <c r="K180" s="71">
        <f t="shared" si="215"/>
        <v>4098</v>
      </c>
      <c r="L180" s="71">
        <f t="shared" si="216"/>
        <v>1757</v>
      </c>
      <c r="M180" s="71"/>
      <c r="N180" s="71"/>
      <c r="O180" s="71"/>
      <c r="P180" s="70">
        <f t="shared" si="217"/>
        <v>16839</v>
      </c>
      <c r="Q180" s="70"/>
      <c r="R180" s="70"/>
      <c r="S180" s="70">
        <f t="shared" si="211"/>
        <v>150</v>
      </c>
      <c r="T180" s="70">
        <f t="shared" si="212"/>
        <v>75</v>
      </c>
      <c r="U180" s="70"/>
      <c r="V180" s="70"/>
      <c r="W180" s="70">
        <v>1584</v>
      </c>
      <c r="X180" s="70">
        <f t="shared" ref="X180" si="220">SUM(Q180:W180)</f>
        <v>1809</v>
      </c>
      <c r="Y180" s="70">
        <f t="shared" si="219"/>
        <v>15030</v>
      </c>
      <c r="Z180" s="172" t="s">
        <v>484</v>
      </c>
      <c r="AA180" s="139" t="s">
        <v>97</v>
      </c>
    </row>
    <row r="181" ht="24" customHeight="1" spans="1:27">
      <c r="A181" s="68">
        <v>165</v>
      </c>
      <c r="B181" s="69" t="s">
        <v>485</v>
      </c>
      <c r="C181" s="70" t="s">
        <v>61</v>
      </c>
      <c r="D181" s="71">
        <v>30000</v>
      </c>
      <c r="E181" s="71"/>
      <c r="F181" s="71">
        <f t="shared" si="213"/>
        <v>19568</v>
      </c>
      <c r="G181" s="71"/>
      <c r="H181" s="71"/>
      <c r="I181" s="72">
        <v>31</v>
      </c>
      <c r="J181" s="71">
        <f t="shared" si="214"/>
        <v>19568</v>
      </c>
      <c r="K181" s="71">
        <f t="shared" si="215"/>
        <v>7301</v>
      </c>
      <c r="L181" s="71">
        <f t="shared" si="216"/>
        <v>3131</v>
      </c>
      <c r="M181" s="71"/>
      <c r="N181" s="71"/>
      <c r="O181" s="71"/>
      <c r="P181" s="70">
        <f t="shared" si="217"/>
        <v>30000</v>
      </c>
      <c r="Q181" s="70"/>
      <c r="R181" s="70"/>
      <c r="S181" s="70">
        <f t="shared" si="211"/>
        <v>200</v>
      </c>
      <c r="T181" s="70">
        <f t="shared" si="212"/>
        <v>75</v>
      </c>
      <c r="U181" s="70">
        <v>189</v>
      </c>
      <c r="V181" s="70">
        <v>2000</v>
      </c>
      <c r="W181" s="70"/>
      <c r="X181" s="70">
        <f t="shared" ref="X181:X183" si="221">SUM(Q181:W181)</f>
        <v>2464</v>
      </c>
      <c r="Y181" s="70">
        <f t="shared" ref="Y181:Y183" si="222">P181-X181</f>
        <v>27536</v>
      </c>
      <c r="Z181" s="172" t="s">
        <v>486</v>
      </c>
      <c r="AA181" s="139" t="s">
        <v>487</v>
      </c>
    </row>
    <row r="182" ht="24" customHeight="1" spans="1:27">
      <c r="A182" s="68">
        <v>166</v>
      </c>
      <c r="B182" s="69" t="s">
        <v>488</v>
      </c>
      <c r="C182" s="70" t="s">
        <v>489</v>
      </c>
      <c r="D182" s="71">
        <v>80000</v>
      </c>
      <c r="E182" s="71">
        <v>80000</v>
      </c>
      <c r="F182" s="71">
        <f t="shared" si="213"/>
        <v>52182</v>
      </c>
      <c r="G182" s="71"/>
      <c r="H182" s="71">
        <f>G182+F182</f>
        <v>52182</v>
      </c>
      <c r="I182" s="72">
        <v>31</v>
      </c>
      <c r="J182" s="71">
        <f t="shared" si="214"/>
        <v>52182</v>
      </c>
      <c r="K182" s="71">
        <f t="shared" si="215"/>
        <v>19469</v>
      </c>
      <c r="L182" s="71">
        <f t="shared" si="216"/>
        <v>8349</v>
      </c>
      <c r="M182" s="71"/>
      <c r="N182" s="71"/>
      <c r="O182" s="71"/>
      <c r="P182" s="70">
        <f t="shared" si="217"/>
        <v>80000</v>
      </c>
      <c r="Q182" s="71"/>
      <c r="R182" s="71"/>
      <c r="S182" s="70">
        <f t="shared" si="211"/>
        <v>200</v>
      </c>
      <c r="T182" s="70">
        <f t="shared" si="212"/>
        <v>75</v>
      </c>
      <c r="U182" s="70"/>
      <c r="V182" s="70"/>
      <c r="W182" s="70">
        <v>2625</v>
      </c>
      <c r="X182" s="70">
        <f t="shared" si="221"/>
        <v>2900</v>
      </c>
      <c r="Y182" s="70">
        <f t="shared" si="222"/>
        <v>77100</v>
      </c>
      <c r="Z182" s="172" t="s">
        <v>490</v>
      </c>
      <c r="AA182" s="185" t="s">
        <v>491</v>
      </c>
    </row>
    <row r="183" ht="24" customHeight="1" spans="1:27">
      <c r="A183" s="68">
        <v>167</v>
      </c>
      <c r="B183" s="69" t="s">
        <v>492</v>
      </c>
      <c r="C183" s="70" t="s">
        <v>493</v>
      </c>
      <c r="D183" s="71">
        <v>26000</v>
      </c>
      <c r="E183" s="71">
        <v>26000</v>
      </c>
      <c r="F183" s="71">
        <f t="shared" si="213"/>
        <v>16959</v>
      </c>
      <c r="G183" s="71"/>
      <c r="H183" s="71"/>
      <c r="I183" s="72">
        <v>30.5</v>
      </c>
      <c r="J183" s="71">
        <f t="shared" si="214"/>
        <v>16685.4677419355</v>
      </c>
      <c r="K183" s="71">
        <f t="shared" si="215"/>
        <v>6225</v>
      </c>
      <c r="L183" s="71">
        <f t="shared" si="216"/>
        <v>2670</v>
      </c>
      <c r="M183" s="71"/>
      <c r="N183" s="71"/>
      <c r="O183" s="71"/>
      <c r="P183" s="70">
        <f t="shared" si="217"/>
        <v>25581</v>
      </c>
      <c r="Q183" s="71"/>
      <c r="R183" s="71"/>
      <c r="S183" s="70">
        <f t="shared" ref="S183" si="223">IF(P183&gt;20001,200,IF(P183&gt;15001,150,IF(P183&lt;15000,0,)))</f>
        <v>200</v>
      </c>
      <c r="T183" s="70">
        <f t="shared" ref="T183" si="224">IF(P183,IF(1,75),IF(1,0))</f>
        <v>75</v>
      </c>
      <c r="U183" s="70"/>
      <c r="V183" s="70"/>
      <c r="W183" s="70">
        <v>958</v>
      </c>
      <c r="X183" s="70">
        <f t="shared" si="221"/>
        <v>1233</v>
      </c>
      <c r="Y183" s="70">
        <f t="shared" si="222"/>
        <v>24348</v>
      </c>
      <c r="Z183" s="172" t="s">
        <v>494</v>
      </c>
      <c r="AA183" s="185" t="s">
        <v>495</v>
      </c>
    </row>
    <row r="184" ht="14.5" spans="1:27">
      <c r="A184" s="68"/>
      <c r="B184" s="84" t="s">
        <v>496</v>
      </c>
      <c r="C184" s="70"/>
      <c r="D184" s="71"/>
      <c r="E184" s="71"/>
      <c r="F184" s="71"/>
      <c r="G184" s="71"/>
      <c r="H184" s="71"/>
      <c r="I184" s="72"/>
      <c r="J184" s="71"/>
      <c r="K184" s="71"/>
      <c r="L184" s="71"/>
      <c r="M184" s="71"/>
      <c r="N184" s="71"/>
      <c r="O184" s="71"/>
      <c r="P184" s="70"/>
      <c r="Q184" s="71"/>
      <c r="R184" s="71"/>
      <c r="S184" s="70"/>
      <c r="T184" s="70"/>
      <c r="U184" s="70"/>
      <c r="V184" s="70"/>
      <c r="W184" s="70"/>
      <c r="X184" s="70"/>
      <c r="Y184" s="70"/>
      <c r="Z184" s="75"/>
      <c r="AA184" s="67"/>
    </row>
    <row r="185" ht="24.95" customHeight="1" spans="1:27">
      <c r="A185" s="68">
        <v>168</v>
      </c>
      <c r="B185" s="69" t="s">
        <v>497</v>
      </c>
      <c r="C185" s="70" t="s">
        <v>498</v>
      </c>
      <c r="D185" s="71">
        <v>38945</v>
      </c>
      <c r="E185" s="71">
        <v>38945</v>
      </c>
      <c r="F185" s="71">
        <f>ROUND(D185/1.5331,0)</f>
        <v>25403</v>
      </c>
      <c r="G185" s="71"/>
      <c r="H185" s="71">
        <f>G185+F185</f>
        <v>25403</v>
      </c>
      <c r="I185" s="72">
        <v>31</v>
      </c>
      <c r="J185" s="71">
        <f>F185/I$4*I185</f>
        <v>25403</v>
      </c>
      <c r="K185" s="71">
        <f>ROUND(J185*37.31%,0)</f>
        <v>9478</v>
      </c>
      <c r="L185" s="71">
        <f>ROUND(J185*16%,0)</f>
        <v>4064</v>
      </c>
      <c r="M185" s="71"/>
      <c r="N185" s="71"/>
      <c r="O185" s="71"/>
      <c r="P185" s="70">
        <f>ROUNDUP(J185+K185+L185+M185+N185+O185,0)</f>
        <v>38945</v>
      </c>
      <c r="Q185" s="71">
        <v>3600</v>
      </c>
      <c r="R185" s="71">
        <v>0</v>
      </c>
      <c r="S185" s="70">
        <f>IF(P185&gt;20001,200,IF(P185&gt;15001,150,IF(P185&lt;15000,0,)))</f>
        <v>200</v>
      </c>
      <c r="T185" s="70">
        <f>IF(P185,IF(1,75),IF(1,0))</f>
        <v>75</v>
      </c>
      <c r="U185" s="70"/>
      <c r="V185" s="70"/>
      <c r="W185" s="70"/>
      <c r="X185" s="70">
        <f>SUM(Q185:W185)</f>
        <v>3875</v>
      </c>
      <c r="Y185" s="70">
        <f>P185-X185</f>
        <v>35070</v>
      </c>
      <c r="Z185" s="172" t="s">
        <v>499</v>
      </c>
      <c r="AA185" s="67" t="s">
        <v>45</v>
      </c>
    </row>
    <row r="186" ht="29.45" customHeight="1" spans="1:27">
      <c r="A186" s="142" t="s">
        <v>500</v>
      </c>
      <c r="B186" s="143" t="s">
        <v>501</v>
      </c>
      <c r="C186" s="144"/>
      <c r="D186" s="145">
        <f>SUM(D5:D185)</f>
        <v>9010754</v>
      </c>
      <c r="E186" s="145">
        <f>SUM(E5:E185)</f>
        <v>2942070</v>
      </c>
      <c r="F186" s="145">
        <f>SUM(F5:F185)</f>
        <v>5864421</v>
      </c>
      <c r="G186" s="145">
        <f>SUM(G5:G185)</f>
        <v>0</v>
      </c>
      <c r="H186" s="145">
        <f>SUM(H5:H185)</f>
        <v>4023058</v>
      </c>
      <c r="I186" s="145"/>
      <c r="J186" s="145">
        <f t="shared" ref="J186:Y186" si="225">SUM(J5:J185)</f>
        <v>5751680.61290322</v>
      </c>
      <c r="K186" s="145">
        <f t="shared" si="225"/>
        <v>2145945</v>
      </c>
      <c r="L186" s="145">
        <f t="shared" si="225"/>
        <v>920263</v>
      </c>
      <c r="M186" s="145">
        <f t="shared" si="225"/>
        <v>0</v>
      </c>
      <c r="N186" s="145">
        <f t="shared" si="225"/>
        <v>0</v>
      </c>
      <c r="O186" s="145">
        <f t="shared" si="225"/>
        <v>35000</v>
      </c>
      <c r="P186" s="145">
        <f t="shared" si="225"/>
        <v>8837912</v>
      </c>
      <c r="Q186" s="145">
        <f t="shared" si="225"/>
        <v>61200</v>
      </c>
      <c r="R186" s="145">
        <f t="shared" si="225"/>
        <v>234247</v>
      </c>
      <c r="S186" s="145">
        <f t="shared" si="225"/>
        <v>32000</v>
      </c>
      <c r="T186" s="145">
        <f t="shared" si="225"/>
        <v>12525</v>
      </c>
      <c r="U186" s="145">
        <f t="shared" si="225"/>
        <v>3577</v>
      </c>
      <c r="V186" s="145">
        <f t="shared" si="225"/>
        <v>10000</v>
      </c>
      <c r="W186" s="145">
        <f t="shared" si="225"/>
        <v>79089</v>
      </c>
      <c r="X186" s="145">
        <f t="shared" si="225"/>
        <v>432638</v>
      </c>
      <c r="Y186" s="145">
        <f t="shared" si="225"/>
        <v>8405274</v>
      </c>
      <c r="Z186" s="75"/>
      <c r="AA186" s="67"/>
    </row>
    <row r="187" ht="28.5" customHeight="1" spans="1:27">
      <c r="A187" s="146"/>
      <c r="B187" s="147"/>
      <c r="C187" s="148"/>
      <c r="D187" s="148"/>
      <c r="E187" s="148"/>
      <c r="F187" s="148"/>
      <c r="G187" s="148"/>
      <c r="H187" s="148"/>
      <c r="I187" s="149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50"/>
      <c r="AA187" s="150"/>
    </row>
    <row r="188" ht="28.5" customHeight="1" spans="1:27">
      <c r="A188" s="146"/>
      <c r="B188" s="147"/>
      <c r="C188" s="148"/>
      <c r="D188" s="148"/>
      <c r="E188" s="148"/>
      <c r="F188" s="148"/>
      <c r="G188" s="148"/>
      <c r="H188" s="148"/>
      <c r="I188" s="149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50"/>
      <c r="AA188" s="150"/>
    </row>
    <row r="189" s="45" customFormat="1" ht="60.75" customHeight="1" spans="1:27">
      <c r="A189" s="151" t="s">
        <v>502</v>
      </c>
      <c r="B189" s="151"/>
      <c r="C189" s="152"/>
      <c r="D189" s="153" t="s">
        <v>503</v>
      </c>
      <c r="E189" s="153"/>
      <c r="F189" s="153"/>
      <c r="G189" s="154"/>
      <c r="H189" s="154"/>
      <c r="I189" s="154"/>
      <c r="J189" s="152"/>
      <c r="K189" s="153" t="s">
        <v>503</v>
      </c>
      <c r="L189" s="153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5"/>
      <c r="AA189" s="155"/>
    </row>
    <row r="190" s="45" customFormat="1" ht="20.1" customHeight="1" spans="1:27">
      <c r="A190" s="156" t="s">
        <v>504</v>
      </c>
      <c r="B190" s="156"/>
      <c r="C190" s="157"/>
      <c r="D190" s="158" t="s">
        <v>505</v>
      </c>
      <c r="E190" s="158"/>
      <c r="F190" s="158"/>
      <c r="G190" s="157"/>
      <c r="H190" s="157"/>
      <c r="I190" s="157"/>
      <c r="J190" s="158"/>
      <c r="K190" s="157" t="s">
        <v>506</v>
      </c>
      <c r="M190" s="158"/>
      <c r="N190" s="159"/>
      <c r="O190" s="159"/>
      <c r="P190" s="158" t="s">
        <v>39</v>
      </c>
      <c r="Q190" s="158"/>
      <c r="R190" s="158"/>
      <c r="S190" s="158"/>
      <c r="T190" s="157"/>
      <c r="U190" s="159"/>
      <c r="V190" s="159"/>
      <c r="W190" s="159"/>
      <c r="X190" s="158" t="s">
        <v>31</v>
      </c>
      <c r="Y190" s="158"/>
      <c r="Z190" s="158"/>
      <c r="AA190" s="159"/>
    </row>
    <row r="191" ht="28.5" customHeight="1" spans="1:27">
      <c r="A191" s="160"/>
      <c r="B191" s="147"/>
      <c r="C191" s="148"/>
      <c r="D191" s="161"/>
      <c r="E191" s="161"/>
      <c r="F191" s="161"/>
      <c r="G191" s="161"/>
      <c r="H191" s="161"/>
      <c r="I191" s="162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16"/>
      <c r="Z191" s="150"/>
      <c r="AA191" s="150"/>
    </row>
    <row r="192" ht="28.5" customHeight="1" spans="1:27">
      <c r="A192" s="160"/>
      <c r="B192" s="147"/>
      <c r="C192" s="148"/>
      <c r="D192" s="161"/>
      <c r="E192" s="161"/>
      <c r="F192" s="161"/>
      <c r="G192" s="161"/>
      <c r="H192" s="161"/>
      <c r="I192" s="162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16"/>
      <c r="Z192" s="150"/>
      <c r="AA192" s="150"/>
    </row>
    <row r="193" ht="28.5" customHeight="1" spans="1:27">
      <c r="A193" s="163"/>
      <c r="B193" s="164"/>
      <c r="C193" s="165"/>
      <c r="D193" s="166"/>
      <c r="E193" s="166"/>
      <c r="F193" s="166"/>
      <c r="G193" s="166"/>
      <c r="H193" s="166"/>
      <c r="I193" s="162"/>
      <c r="J193" s="166"/>
      <c r="K193" s="166"/>
      <c r="L193" s="166"/>
      <c r="M193" s="161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7"/>
      <c r="AA193" s="150"/>
    </row>
    <row r="194" ht="28.5" customHeight="1" spans="1:27">
      <c r="A194" s="168"/>
      <c r="B194" s="169"/>
      <c r="C194" s="170"/>
      <c r="D194" s="150"/>
      <c r="E194" s="150"/>
      <c r="F194" s="150"/>
      <c r="G194" s="150"/>
      <c r="H194" s="150"/>
      <c r="I194" s="171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</row>
    <row r="195" ht="28.5" customHeight="1" spans="1:27">
      <c r="A195" s="168"/>
      <c r="B195" s="169"/>
      <c r="C195" s="170"/>
      <c r="D195" s="150"/>
      <c r="E195" s="150"/>
      <c r="F195" s="150"/>
      <c r="G195" s="150"/>
      <c r="H195" s="150"/>
      <c r="I195" s="171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16"/>
      <c r="Y195" s="150"/>
      <c r="Z195" s="150"/>
      <c r="AA195" s="150"/>
    </row>
  </sheetData>
  <mergeCells count="9">
    <mergeCell ref="A1:AA1"/>
    <mergeCell ref="A2:AA2"/>
    <mergeCell ref="A189:B189"/>
    <mergeCell ref="D189:F189"/>
    <mergeCell ref="K189:L189"/>
    <mergeCell ref="A190:B190"/>
    <mergeCell ref="D190:F190"/>
    <mergeCell ref="P190:S190"/>
    <mergeCell ref="X190:Z190"/>
  </mergeCells>
  <printOptions horizontalCentered="1" gridLines="1"/>
  <pageMargins left="0.196850393700787" right="0.078740157480315" top="0.15748031496063" bottom="0.15748031496063" header="0.31496062992126" footer="0.31496062992126"/>
  <pageSetup paperSize="5" scale="76" orientation="landscape"/>
  <headerFooter/>
  <ignoredErrors>
    <ignoredError sqref="H10 H5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68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507</v>
      </c>
      <c r="G1" s="2"/>
      <c r="H1" s="2"/>
      <c r="I1" s="2"/>
      <c r="J1" s="2"/>
      <c r="K1" s="2"/>
    </row>
    <row r="2" ht="22.5" customHeight="1" spans="1:11">
      <c r="A2" s="1" t="s">
        <v>508</v>
      </c>
      <c r="G2" s="2"/>
      <c r="H2" s="2"/>
      <c r="I2" s="2"/>
      <c r="J2" s="2"/>
      <c r="K2" s="2"/>
    </row>
    <row r="3" ht="28.5" customHeight="1" spans="1:11">
      <c r="A3" s="3" t="s">
        <v>509</v>
      </c>
      <c r="B3" s="4" t="s">
        <v>3</v>
      </c>
      <c r="C3" s="3" t="s">
        <v>4</v>
      </c>
      <c r="D3" s="3" t="s">
        <v>5</v>
      </c>
      <c r="E3" s="3" t="s">
        <v>26</v>
      </c>
      <c r="F3" s="5" t="s">
        <v>27</v>
      </c>
      <c r="G3" s="2"/>
      <c r="H3" s="2"/>
      <c r="I3" s="2"/>
      <c r="J3" s="2"/>
      <c r="K3" s="2"/>
    </row>
    <row r="4" ht="21.75" customHeight="1" spans="1:11">
      <c r="A4" s="6"/>
      <c r="B4" s="4" t="s">
        <v>29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19">
        <v>1</v>
      </c>
      <c r="B5" s="37" t="s">
        <v>38</v>
      </c>
      <c r="C5" s="38" t="s">
        <v>39</v>
      </c>
      <c r="D5" s="19">
        <v>160000</v>
      </c>
      <c r="E5" s="38"/>
      <c r="F5" s="187" t="s">
        <v>510</v>
      </c>
      <c r="G5" s="2">
        <f t="shared" ref="G5:G72" si="0">ROUND(E5/2,0)</f>
        <v>0</v>
      </c>
      <c r="H5" s="2"/>
      <c r="I5" s="2"/>
      <c r="J5" s="2"/>
      <c r="K5" s="2"/>
    </row>
    <row r="6" ht="28.5" customHeight="1" spans="1:11">
      <c r="A6" s="19">
        <v>2</v>
      </c>
      <c r="B6" s="37" t="s">
        <v>511</v>
      </c>
      <c r="C6" s="38" t="s">
        <v>74</v>
      </c>
      <c r="D6" s="19">
        <v>100106</v>
      </c>
      <c r="E6" s="38">
        <v>99831</v>
      </c>
      <c r="F6" s="187" t="s">
        <v>44</v>
      </c>
      <c r="G6" s="2">
        <f t="shared" si="0"/>
        <v>49916</v>
      </c>
      <c r="H6" s="2"/>
      <c r="I6" s="2"/>
      <c r="J6" s="2"/>
      <c r="K6" s="2"/>
    </row>
    <row r="7" ht="28.5" customHeight="1" spans="1:11">
      <c r="A7" s="19">
        <v>3</v>
      </c>
      <c r="B7" s="37" t="s">
        <v>512</v>
      </c>
      <c r="C7" s="38" t="s">
        <v>74</v>
      </c>
      <c r="D7" s="19">
        <v>45000</v>
      </c>
      <c r="E7" s="38">
        <v>44725</v>
      </c>
      <c r="F7" s="187" t="s">
        <v>513</v>
      </c>
      <c r="G7" s="2">
        <f t="shared" si="0"/>
        <v>22363</v>
      </c>
      <c r="H7" s="2"/>
      <c r="I7" s="2"/>
      <c r="J7" s="2"/>
      <c r="K7" s="2"/>
    </row>
    <row r="8" ht="28.5" customHeight="1" spans="1:11">
      <c r="A8" s="19">
        <v>4</v>
      </c>
      <c r="B8" s="37" t="s">
        <v>514</v>
      </c>
      <c r="C8" s="38" t="s">
        <v>61</v>
      </c>
      <c r="D8" s="19">
        <v>47667</v>
      </c>
      <c r="E8" s="38">
        <v>47392</v>
      </c>
      <c r="F8" s="187" t="s">
        <v>56</v>
      </c>
      <c r="G8" s="2">
        <f t="shared" si="0"/>
        <v>23696</v>
      </c>
      <c r="H8" s="2"/>
      <c r="I8" s="2"/>
      <c r="J8" s="2"/>
      <c r="K8" s="2"/>
    </row>
    <row r="9" ht="28.5" customHeight="1" spans="1:11">
      <c r="A9" s="19">
        <v>5</v>
      </c>
      <c r="B9" s="37" t="s">
        <v>515</v>
      </c>
      <c r="C9" s="38" t="s">
        <v>61</v>
      </c>
      <c r="D9" s="19">
        <v>43206</v>
      </c>
      <c r="E9" s="38">
        <v>42931</v>
      </c>
      <c r="F9" s="187" t="s">
        <v>516</v>
      </c>
      <c r="G9" s="2">
        <f t="shared" si="0"/>
        <v>21466</v>
      </c>
      <c r="H9" s="2"/>
      <c r="I9" s="2"/>
      <c r="J9" s="2"/>
      <c r="K9" s="2"/>
    </row>
    <row r="10" ht="28.5" customHeight="1" spans="1:11">
      <c r="A10" s="19">
        <v>6</v>
      </c>
      <c r="B10" s="37" t="s">
        <v>517</v>
      </c>
      <c r="C10" s="38" t="s">
        <v>61</v>
      </c>
      <c r="D10" s="19">
        <v>32460</v>
      </c>
      <c r="E10" s="38">
        <v>32185</v>
      </c>
      <c r="F10" s="187" t="s">
        <v>518</v>
      </c>
      <c r="G10" s="2">
        <f t="shared" si="0"/>
        <v>16093</v>
      </c>
      <c r="H10" s="2"/>
      <c r="I10" s="2"/>
      <c r="J10" s="2"/>
      <c r="K10" s="2"/>
    </row>
    <row r="11" ht="28.5" customHeight="1" spans="1:11">
      <c r="A11" s="19">
        <v>7</v>
      </c>
      <c r="B11" s="37" t="s">
        <v>519</v>
      </c>
      <c r="C11" s="38" t="s">
        <v>61</v>
      </c>
      <c r="D11" s="38">
        <v>18000</v>
      </c>
      <c r="E11" s="38">
        <v>17775</v>
      </c>
      <c r="F11" s="187" t="s">
        <v>520</v>
      </c>
      <c r="G11" s="2">
        <f t="shared" si="0"/>
        <v>8888</v>
      </c>
      <c r="H11" s="2"/>
      <c r="I11" s="2"/>
      <c r="J11" s="2"/>
      <c r="K11" s="2"/>
    </row>
    <row r="12" ht="28.5" customHeight="1" spans="1:11">
      <c r="A12" s="19">
        <v>8</v>
      </c>
      <c r="B12" s="37" t="s">
        <v>521</v>
      </c>
      <c r="C12" s="38" t="s">
        <v>61</v>
      </c>
      <c r="D12" s="38">
        <v>18000</v>
      </c>
      <c r="E12" s="38">
        <v>17775</v>
      </c>
      <c r="F12" s="187" t="s">
        <v>522</v>
      </c>
      <c r="G12" s="2">
        <f t="shared" si="0"/>
        <v>8888</v>
      </c>
      <c r="H12" s="2"/>
      <c r="I12" s="2"/>
      <c r="J12" s="2"/>
      <c r="K12" s="2"/>
    </row>
    <row r="13" ht="28.5" customHeight="1" spans="1:11">
      <c r="A13" s="23">
        <v>9</v>
      </c>
      <c r="B13" s="24" t="s">
        <v>523</v>
      </c>
      <c r="C13" s="25" t="s">
        <v>61</v>
      </c>
      <c r="D13" s="25">
        <v>40000</v>
      </c>
      <c r="E13" s="25">
        <v>39725</v>
      </c>
      <c r="F13" s="188" t="s">
        <v>524</v>
      </c>
      <c r="G13" s="27">
        <f t="shared" si="0"/>
        <v>19863</v>
      </c>
      <c r="H13" s="27"/>
      <c r="I13" s="27"/>
      <c r="J13" s="27"/>
      <c r="K13" s="27"/>
    </row>
    <row r="14" ht="28.5" customHeight="1" spans="1:11">
      <c r="A14" s="23">
        <v>10</v>
      </c>
      <c r="B14" s="24" t="s">
        <v>525</v>
      </c>
      <c r="C14" s="25" t="s">
        <v>61</v>
      </c>
      <c r="D14" s="25">
        <v>23000</v>
      </c>
      <c r="E14" s="25">
        <v>22725</v>
      </c>
      <c r="F14" s="188" t="s">
        <v>526</v>
      </c>
      <c r="G14" s="27">
        <f t="shared" si="0"/>
        <v>11363</v>
      </c>
      <c r="H14" s="27"/>
      <c r="I14" s="27"/>
      <c r="J14" s="27"/>
      <c r="K14" s="27"/>
    </row>
    <row r="15" ht="28.5" customHeight="1" spans="1:11">
      <c r="A15" s="19">
        <v>11</v>
      </c>
      <c r="B15" s="32" t="s">
        <v>527</v>
      </c>
      <c r="C15" s="38" t="s">
        <v>61</v>
      </c>
      <c r="D15" s="38">
        <v>22000</v>
      </c>
      <c r="E15" s="38">
        <v>21725</v>
      </c>
      <c r="F15" s="187" t="s">
        <v>528</v>
      </c>
      <c r="G15" s="2">
        <f t="shared" si="0"/>
        <v>10863</v>
      </c>
      <c r="H15" s="2"/>
      <c r="I15" s="2"/>
      <c r="J15" s="2"/>
      <c r="K15" s="2"/>
    </row>
    <row r="16" ht="28.5" customHeight="1" spans="1:11">
      <c r="A16" s="19">
        <v>12</v>
      </c>
      <c r="B16" s="32" t="s">
        <v>529</v>
      </c>
      <c r="C16" s="38" t="s">
        <v>74</v>
      </c>
      <c r="D16" s="38">
        <v>65000</v>
      </c>
      <c r="E16" s="38">
        <v>61725</v>
      </c>
      <c r="F16" s="189" t="s">
        <v>530</v>
      </c>
      <c r="G16" s="2">
        <f t="shared" si="0"/>
        <v>30863</v>
      </c>
      <c r="H16" s="2"/>
      <c r="I16" s="2"/>
      <c r="J16" s="2"/>
      <c r="K16" s="2"/>
    </row>
    <row r="17" ht="28.5" customHeight="1" spans="1:11">
      <c r="A17" s="19">
        <v>13</v>
      </c>
      <c r="B17" s="37" t="s">
        <v>531</v>
      </c>
      <c r="C17" s="38" t="s">
        <v>532</v>
      </c>
      <c r="D17" s="19">
        <v>89961</v>
      </c>
      <c r="E17" s="38">
        <v>86086</v>
      </c>
      <c r="F17" s="190" t="s">
        <v>72</v>
      </c>
      <c r="G17" s="2">
        <f t="shared" si="0"/>
        <v>43043</v>
      </c>
      <c r="H17" s="2"/>
      <c r="I17" s="2"/>
      <c r="J17" s="2"/>
      <c r="K17" s="2"/>
    </row>
    <row r="18" ht="28.5" customHeight="1" spans="1:11">
      <c r="A18" s="19">
        <v>14</v>
      </c>
      <c r="B18" s="37" t="s">
        <v>533</v>
      </c>
      <c r="C18" s="38" t="s">
        <v>74</v>
      </c>
      <c r="D18" s="19">
        <v>51841</v>
      </c>
      <c r="E18" s="38">
        <v>47966</v>
      </c>
      <c r="F18" s="190" t="s">
        <v>75</v>
      </c>
      <c r="G18" s="2">
        <f t="shared" si="0"/>
        <v>23983</v>
      </c>
      <c r="H18" s="2"/>
      <c r="I18" s="2"/>
      <c r="J18" s="2"/>
      <c r="K18" s="2"/>
    </row>
    <row r="19" ht="28.5" customHeight="1" spans="1:11">
      <c r="A19" s="19">
        <v>15</v>
      </c>
      <c r="B19" s="37" t="s">
        <v>534</v>
      </c>
      <c r="C19" s="38" t="s">
        <v>74</v>
      </c>
      <c r="D19" s="19">
        <v>55000</v>
      </c>
      <c r="E19" s="38">
        <v>54725</v>
      </c>
      <c r="F19" s="190" t="s">
        <v>535</v>
      </c>
      <c r="G19" s="2">
        <f t="shared" si="0"/>
        <v>27363</v>
      </c>
      <c r="H19" s="2"/>
      <c r="I19" s="2"/>
      <c r="J19" s="2"/>
      <c r="K19" s="2"/>
    </row>
    <row r="20" ht="28.5" customHeight="1" spans="1:11">
      <c r="A20" s="19">
        <v>16</v>
      </c>
      <c r="B20" s="37" t="s">
        <v>536</v>
      </c>
      <c r="C20" s="38" t="s">
        <v>74</v>
      </c>
      <c r="D20" s="19">
        <v>52000</v>
      </c>
      <c r="E20" s="38">
        <v>51725</v>
      </c>
      <c r="F20" s="19"/>
      <c r="G20" s="2">
        <f t="shared" si="0"/>
        <v>25863</v>
      </c>
      <c r="H20" s="2"/>
      <c r="I20" s="2"/>
      <c r="J20" s="2"/>
      <c r="K20" s="2"/>
    </row>
    <row r="21" ht="28.5" customHeight="1" spans="1:11">
      <c r="A21" s="7">
        <v>17</v>
      </c>
      <c r="B21" s="8" t="s">
        <v>537</v>
      </c>
      <c r="C21" s="9" t="s">
        <v>74</v>
      </c>
      <c r="D21" s="7">
        <v>44332</v>
      </c>
      <c r="E21" s="9">
        <v>44057</v>
      </c>
      <c r="F21" s="191" t="s">
        <v>538</v>
      </c>
      <c r="G21" s="10">
        <f t="shared" si="0"/>
        <v>22029</v>
      </c>
      <c r="H21" s="10"/>
      <c r="I21" s="10"/>
      <c r="J21" s="10"/>
      <c r="K21" s="10"/>
    </row>
    <row r="22" ht="28.5" customHeight="1" spans="1:11">
      <c r="A22" s="19">
        <v>18</v>
      </c>
      <c r="B22" s="37" t="s">
        <v>539</v>
      </c>
      <c r="C22" s="38" t="s">
        <v>74</v>
      </c>
      <c r="D22" s="19">
        <v>60000</v>
      </c>
      <c r="E22" s="38">
        <v>59725</v>
      </c>
      <c r="F22" s="190" t="s">
        <v>540</v>
      </c>
      <c r="G22" s="2">
        <f t="shared" si="0"/>
        <v>29863</v>
      </c>
      <c r="H22" s="2"/>
      <c r="I22" s="2"/>
      <c r="J22" s="2"/>
      <c r="K22" s="2"/>
    </row>
    <row r="23" ht="28.5" customHeight="1" spans="1:11">
      <c r="A23" s="19">
        <v>19</v>
      </c>
      <c r="B23" s="37" t="s">
        <v>541</v>
      </c>
      <c r="C23" s="38" t="s">
        <v>74</v>
      </c>
      <c r="D23" s="19">
        <v>62000</v>
      </c>
      <c r="E23" s="38">
        <v>61725</v>
      </c>
      <c r="F23" s="190" t="s">
        <v>77</v>
      </c>
      <c r="G23" s="2">
        <f t="shared" si="0"/>
        <v>30863</v>
      </c>
      <c r="H23" s="2"/>
      <c r="I23" s="2"/>
      <c r="J23" s="2"/>
      <c r="K23" s="2"/>
    </row>
    <row r="24" ht="28.5" customHeight="1" spans="1:11">
      <c r="A24" s="19">
        <v>20</v>
      </c>
      <c r="B24" s="37" t="s">
        <v>542</v>
      </c>
      <c r="C24" s="38" t="s">
        <v>61</v>
      </c>
      <c r="D24" s="19">
        <v>34510</v>
      </c>
      <c r="E24" s="38">
        <v>34235</v>
      </c>
      <c r="F24" s="190" t="s">
        <v>543</v>
      </c>
      <c r="G24" s="2">
        <f t="shared" si="0"/>
        <v>17118</v>
      </c>
      <c r="H24" s="2"/>
      <c r="I24" s="2"/>
      <c r="J24" s="2"/>
      <c r="K24" s="2"/>
    </row>
    <row r="25" ht="28.5" customHeight="1" spans="1:11">
      <c r="A25" s="19">
        <v>21</v>
      </c>
      <c r="B25" s="37" t="s">
        <v>544</v>
      </c>
      <c r="C25" s="38" t="s">
        <v>61</v>
      </c>
      <c r="D25" s="19">
        <v>20000</v>
      </c>
      <c r="E25" s="38">
        <v>19775</v>
      </c>
      <c r="F25" s="190" t="s">
        <v>545</v>
      </c>
      <c r="G25" s="2">
        <f t="shared" si="0"/>
        <v>9888</v>
      </c>
      <c r="H25" s="2"/>
      <c r="I25" s="2"/>
      <c r="J25" s="2"/>
      <c r="K25" s="2"/>
    </row>
    <row r="26" ht="28.5" customHeight="1" spans="1:11">
      <c r="A26" s="19">
        <v>22</v>
      </c>
      <c r="B26" s="37" t="s">
        <v>546</v>
      </c>
      <c r="C26" s="38" t="s">
        <v>61</v>
      </c>
      <c r="D26" s="19">
        <v>35000</v>
      </c>
      <c r="E26" s="38">
        <v>34725</v>
      </c>
      <c r="F26" s="190" t="s">
        <v>547</v>
      </c>
      <c r="G26" s="2">
        <f t="shared" si="0"/>
        <v>17363</v>
      </c>
      <c r="H26" s="2"/>
      <c r="I26" s="2"/>
      <c r="J26" s="2"/>
      <c r="K26" s="2"/>
    </row>
    <row r="27" ht="28.5" customHeight="1" spans="1:11">
      <c r="A27" s="23">
        <v>23</v>
      </c>
      <c r="B27" s="34" t="s">
        <v>548</v>
      </c>
      <c r="C27" s="25" t="s">
        <v>61</v>
      </c>
      <c r="D27" s="23">
        <v>18000</v>
      </c>
      <c r="E27" s="25">
        <v>17775</v>
      </c>
      <c r="F27" s="192" t="s">
        <v>549</v>
      </c>
      <c r="G27" s="27">
        <f t="shared" si="0"/>
        <v>8888</v>
      </c>
      <c r="H27" s="27"/>
      <c r="I27" s="27"/>
      <c r="J27" s="27"/>
      <c r="K27" s="27"/>
    </row>
    <row r="28" ht="28.5" customHeight="1" spans="1:11">
      <c r="A28" s="19">
        <v>24</v>
      </c>
      <c r="B28" s="37" t="s">
        <v>550</v>
      </c>
      <c r="C28" s="38" t="s">
        <v>61</v>
      </c>
      <c r="D28" s="19">
        <v>25000</v>
      </c>
      <c r="E28" s="38">
        <v>24725</v>
      </c>
      <c r="F28" s="190" t="s">
        <v>551</v>
      </c>
      <c r="G28" s="2">
        <f t="shared" si="0"/>
        <v>12363</v>
      </c>
      <c r="H28" s="2"/>
      <c r="I28" s="2"/>
      <c r="J28" s="2"/>
      <c r="K28" s="2"/>
    </row>
    <row r="29" ht="28.5" customHeight="1" spans="1:11">
      <c r="A29" s="19">
        <v>25</v>
      </c>
      <c r="B29" s="37" t="s">
        <v>552</v>
      </c>
      <c r="C29" s="38" t="s">
        <v>61</v>
      </c>
      <c r="D29" s="19">
        <v>26460</v>
      </c>
      <c r="E29" s="38">
        <v>26185</v>
      </c>
      <c r="F29" s="190" t="s">
        <v>86</v>
      </c>
      <c r="G29" s="2">
        <f t="shared" si="0"/>
        <v>13093</v>
      </c>
      <c r="H29" s="2"/>
      <c r="I29" s="2"/>
      <c r="J29" s="2"/>
      <c r="K29" s="2"/>
    </row>
    <row r="30" ht="43.5" customHeight="1" spans="1:11">
      <c r="A30" s="19">
        <v>26</v>
      </c>
      <c r="B30" s="37" t="s">
        <v>553</v>
      </c>
      <c r="C30" s="38" t="s">
        <v>554</v>
      </c>
      <c r="D30" s="19">
        <v>100000</v>
      </c>
      <c r="E30" s="38">
        <v>96125</v>
      </c>
      <c r="F30" s="187" t="s">
        <v>555</v>
      </c>
      <c r="G30" s="2">
        <f t="shared" si="0"/>
        <v>48063</v>
      </c>
      <c r="H30" s="2"/>
      <c r="I30" s="2"/>
      <c r="J30" s="2"/>
      <c r="K30" s="2"/>
    </row>
    <row r="31" ht="28.5" customHeight="1" spans="1:11">
      <c r="A31" s="19">
        <v>27</v>
      </c>
      <c r="B31" s="37" t="s">
        <v>556</v>
      </c>
      <c r="C31" s="38" t="s">
        <v>557</v>
      </c>
      <c r="D31" s="19">
        <v>65000</v>
      </c>
      <c r="E31" s="38">
        <v>64725</v>
      </c>
      <c r="F31" s="187" t="s">
        <v>558</v>
      </c>
      <c r="G31" s="2">
        <f t="shared" si="0"/>
        <v>32363</v>
      </c>
      <c r="H31" s="2"/>
      <c r="I31" s="2"/>
      <c r="J31" s="2"/>
      <c r="K31" s="2"/>
    </row>
    <row r="32" ht="28.5" customHeight="1" spans="1:11">
      <c r="A32" s="19">
        <v>28</v>
      </c>
      <c r="B32" s="37" t="s">
        <v>559</v>
      </c>
      <c r="C32" s="38" t="s">
        <v>102</v>
      </c>
      <c r="D32" s="19">
        <v>89961</v>
      </c>
      <c r="E32" s="38">
        <v>86086</v>
      </c>
      <c r="F32" s="187" t="s">
        <v>107</v>
      </c>
      <c r="G32" s="2">
        <f t="shared" si="0"/>
        <v>43043</v>
      </c>
      <c r="H32" s="2"/>
      <c r="I32" s="2"/>
      <c r="J32" s="2"/>
      <c r="K32" s="2"/>
    </row>
    <row r="33" ht="28.5" customHeight="1" spans="1:11">
      <c r="A33" s="19">
        <v>29</v>
      </c>
      <c r="B33" s="37" t="s">
        <v>560</v>
      </c>
      <c r="C33" s="38" t="s">
        <v>102</v>
      </c>
      <c r="D33" s="19">
        <v>75000</v>
      </c>
      <c r="E33" s="38">
        <v>74725</v>
      </c>
      <c r="F33" s="187" t="s">
        <v>105</v>
      </c>
      <c r="G33" s="2">
        <f t="shared" si="0"/>
        <v>37363</v>
      </c>
      <c r="H33" s="2"/>
      <c r="I33" s="2"/>
      <c r="J33" s="2"/>
      <c r="K33" s="2"/>
    </row>
    <row r="34" ht="28.5" customHeight="1" spans="1:11">
      <c r="A34" s="19">
        <v>30</v>
      </c>
      <c r="B34" s="37" t="s">
        <v>561</v>
      </c>
      <c r="C34" s="38" t="s">
        <v>410</v>
      </c>
      <c r="D34" s="19">
        <v>45000</v>
      </c>
      <c r="E34" s="38">
        <v>44725</v>
      </c>
      <c r="F34" s="187" t="s">
        <v>562</v>
      </c>
      <c r="G34" s="2">
        <f t="shared" si="0"/>
        <v>22363</v>
      </c>
      <c r="H34" s="2"/>
      <c r="I34" s="2"/>
      <c r="J34" s="2"/>
      <c r="K34" s="2"/>
    </row>
    <row r="35" ht="28.5" customHeight="1" spans="1:11">
      <c r="A35" s="19">
        <v>31</v>
      </c>
      <c r="B35" s="37" t="s">
        <v>563</v>
      </c>
      <c r="C35" s="38" t="s">
        <v>410</v>
      </c>
      <c r="D35" s="19">
        <v>55000</v>
      </c>
      <c r="E35" s="38">
        <v>54725</v>
      </c>
      <c r="F35" s="187" t="s">
        <v>564</v>
      </c>
      <c r="G35" s="2">
        <f t="shared" si="0"/>
        <v>27363</v>
      </c>
      <c r="H35" s="2"/>
      <c r="I35" s="2"/>
      <c r="J35" s="2"/>
      <c r="K35" s="2"/>
    </row>
    <row r="36" ht="28.5" customHeight="1" spans="1:11">
      <c r="A36" s="19">
        <v>32</v>
      </c>
      <c r="B36" s="37" t="s">
        <v>565</v>
      </c>
      <c r="C36" s="38" t="s">
        <v>61</v>
      </c>
      <c r="D36" s="19">
        <v>65000</v>
      </c>
      <c r="E36" s="38">
        <v>68725</v>
      </c>
      <c r="F36" s="187" t="s">
        <v>109</v>
      </c>
      <c r="G36" s="2">
        <f t="shared" si="0"/>
        <v>34363</v>
      </c>
      <c r="H36" s="2"/>
      <c r="I36" s="2"/>
      <c r="J36" s="2"/>
      <c r="K36" s="2"/>
    </row>
    <row r="37" ht="28.5" customHeight="1" spans="1:11">
      <c r="A37" s="19">
        <v>33</v>
      </c>
      <c r="B37" s="37" t="s">
        <v>566</v>
      </c>
      <c r="C37" s="38" t="s">
        <v>61</v>
      </c>
      <c r="D37" s="19">
        <v>31949</v>
      </c>
      <c r="E37" s="38">
        <v>31674</v>
      </c>
      <c r="F37" s="187" t="s">
        <v>120</v>
      </c>
      <c r="G37" s="2">
        <f t="shared" si="0"/>
        <v>15837</v>
      </c>
      <c r="H37" s="2"/>
      <c r="I37" s="2"/>
      <c r="J37" s="2"/>
      <c r="K37" s="2"/>
    </row>
    <row r="38" ht="28.5" customHeight="1" spans="1:11">
      <c r="A38" s="19">
        <v>34</v>
      </c>
      <c r="B38" s="37" t="s">
        <v>567</v>
      </c>
      <c r="C38" s="38" t="s">
        <v>61</v>
      </c>
      <c r="D38" s="19">
        <v>20000</v>
      </c>
      <c r="E38" s="38">
        <v>19775</v>
      </c>
      <c r="F38" s="187" t="s">
        <v>122</v>
      </c>
      <c r="G38" s="2">
        <f t="shared" si="0"/>
        <v>9888</v>
      </c>
      <c r="H38" s="2"/>
      <c r="I38" s="2"/>
      <c r="J38" s="2"/>
      <c r="K38" s="2"/>
    </row>
    <row r="39" ht="28.5" customHeight="1" spans="1:11">
      <c r="A39" s="19">
        <v>35</v>
      </c>
      <c r="B39" s="37" t="s">
        <v>568</v>
      </c>
      <c r="C39" s="38" t="s">
        <v>61</v>
      </c>
      <c r="D39" s="19">
        <v>25000</v>
      </c>
      <c r="E39" s="38">
        <v>24725</v>
      </c>
      <c r="F39" s="187" t="s">
        <v>569</v>
      </c>
      <c r="G39" s="2">
        <f t="shared" si="0"/>
        <v>12363</v>
      </c>
      <c r="H39" s="2"/>
      <c r="I39" s="2"/>
      <c r="J39" s="2"/>
      <c r="K39" s="2"/>
    </row>
    <row r="40" ht="28.5" customHeight="1" spans="1:11">
      <c r="A40" s="19">
        <v>36</v>
      </c>
      <c r="B40" s="37" t="s">
        <v>570</v>
      </c>
      <c r="C40" s="38" t="s">
        <v>61</v>
      </c>
      <c r="D40" s="19">
        <v>45000</v>
      </c>
      <c r="E40" s="38">
        <v>44725</v>
      </c>
      <c r="F40" s="187" t="s">
        <v>111</v>
      </c>
      <c r="G40" s="2">
        <f t="shared" si="0"/>
        <v>22363</v>
      </c>
      <c r="H40" s="2"/>
      <c r="I40" s="2"/>
      <c r="J40" s="2"/>
      <c r="K40" s="2"/>
    </row>
    <row r="41" ht="28.5" customHeight="1" spans="1:11">
      <c r="A41" s="19">
        <v>37</v>
      </c>
      <c r="B41" s="37" t="s">
        <v>571</v>
      </c>
      <c r="C41" s="38" t="s">
        <v>61</v>
      </c>
      <c r="D41" s="19">
        <v>15000</v>
      </c>
      <c r="E41" s="38">
        <v>14925</v>
      </c>
      <c r="F41" s="187" t="s">
        <v>572</v>
      </c>
      <c r="G41" s="2">
        <f t="shared" si="0"/>
        <v>7463</v>
      </c>
      <c r="H41" s="2"/>
      <c r="I41" s="2"/>
      <c r="J41" s="2"/>
      <c r="K41" s="2"/>
    </row>
    <row r="42" ht="29.25" customHeight="1" spans="1:11">
      <c r="A42" s="19">
        <v>38</v>
      </c>
      <c r="B42" s="37" t="s">
        <v>573</v>
      </c>
      <c r="C42" s="38" t="s">
        <v>61</v>
      </c>
      <c r="D42" s="19">
        <v>15000</v>
      </c>
      <c r="E42" s="38">
        <v>14925</v>
      </c>
      <c r="F42" s="187" t="s">
        <v>574</v>
      </c>
      <c r="G42" s="2">
        <f t="shared" si="0"/>
        <v>7463</v>
      </c>
      <c r="H42" s="2"/>
      <c r="I42" s="2"/>
      <c r="J42" s="2"/>
      <c r="K42" s="2"/>
    </row>
    <row r="43" ht="28.5" customHeight="1" spans="1:11">
      <c r="A43" s="19">
        <v>39</v>
      </c>
      <c r="B43" s="37" t="s">
        <v>575</v>
      </c>
      <c r="C43" s="38" t="s">
        <v>61</v>
      </c>
      <c r="D43" s="19">
        <v>60000</v>
      </c>
      <c r="E43" s="38">
        <v>59725</v>
      </c>
      <c r="F43" s="187" t="s">
        <v>100</v>
      </c>
      <c r="G43" s="2">
        <f t="shared" si="0"/>
        <v>29863</v>
      </c>
      <c r="H43" s="2"/>
      <c r="I43" s="2"/>
      <c r="J43" s="2"/>
      <c r="K43" s="2"/>
    </row>
    <row r="44" ht="28.5" customHeight="1" spans="1:11">
      <c r="A44" s="19">
        <v>40</v>
      </c>
      <c r="B44" s="37" t="s">
        <v>576</v>
      </c>
      <c r="C44" s="38" t="s">
        <v>61</v>
      </c>
      <c r="D44" s="19">
        <v>25000</v>
      </c>
      <c r="E44" s="38">
        <v>24725</v>
      </c>
      <c r="F44" s="187" t="s">
        <v>577</v>
      </c>
      <c r="G44" s="2">
        <f t="shared" si="0"/>
        <v>12363</v>
      </c>
      <c r="H44" s="2"/>
      <c r="I44" s="2"/>
      <c r="J44" s="2"/>
      <c r="K44" s="2"/>
    </row>
    <row r="45" ht="28.5" customHeight="1" spans="1:11">
      <c r="A45" s="19">
        <v>41</v>
      </c>
      <c r="B45" s="37" t="s">
        <v>578</v>
      </c>
      <c r="C45" s="38" t="s">
        <v>61</v>
      </c>
      <c r="D45" s="19">
        <v>25000</v>
      </c>
      <c r="E45" s="38">
        <v>24725</v>
      </c>
      <c r="F45" s="187" t="s">
        <v>579</v>
      </c>
      <c r="G45" s="2">
        <f t="shared" si="0"/>
        <v>12363</v>
      </c>
      <c r="H45" s="2"/>
      <c r="I45" s="2"/>
      <c r="J45" s="2"/>
      <c r="K45" s="2"/>
    </row>
    <row r="46" ht="28.5" customHeight="1" spans="1:11">
      <c r="A46" s="19">
        <v>42</v>
      </c>
      <c r="B46" s="37" t="s">
        <v>580</v>
      </c>
      <c r="C46" s="38" t="s">
        <v>61</v>
      </c>
      <c r="D46" s="19">
        <v>25000</v>
      </c>
      <c r="E46" s="38">
        <v>24725</v>
      </c>
      <c r="F46" s="187" t="s">
        <v>130</v>
      </c>
      <c r="G46" s="2">
        <f t="shared" si="0"/>
        <v>12363</v>
      </c>
      <c r="H46" s="2"/>
      <c r="I46" s="2"/>
      <c r="J46" s="2"/>
      <c r="K46" s="2"/>
    </row>
    <row r="47" ht="28.5" customHeight="1" spans="1:11">
      <c r="A47" s="19"/>
      <c r="B47" s="37"/>
      <c r="C47" s="38"/>
      <c r="D47" s="19"/>
      <c r="E47" s="38"/>
      <c r="F47" s="22"/>
      <c r="G47" s="2">
        <f t="shared" si="0"/>
        <v>0</v>
      </c>
      <c r="H47" s="2"/>
      <c r="I47" s="2"/>
      <c r="J47" s="2"/>
      <c r="K47" s="2"/>
    </row>
    <row r="48" ht="28.5" customHeight="1" spans="1:11">
      <c r="A48" s="19">
        <v>43</v>
      </c>
      <c r="B48" s="37" t="s">
        <v>581</v>
      </c>
      <c r="C48" s="38" t="s">
        <v>399</v>
      </c>
      <c r="D48" s="19">
        <v>80000</v>
      </c>
      <c r="E48" s="38">
        <v>79725</v>
      </c>
      <c r="F48" s="190" t="s">
        <v>582</v>
      </c>
      <c r="G48" s="2">
        <f t="shared" si="0"/>
        <v>39863</v>
      </c>
      <c r="H48" s="2"/>
      <c r="I48" s="2"/>
      <c r="J48" s="2"/>
      <c r="K48" s="2"/>
    </row>
    <row r="49" ht="28.5" customHeight="1" spans="1:11">
      <c r="A49" s="7">
        <v>44</v>
      </c>
      <c r="B49" s="11" t="s">
        <v>583</v>
      </c>
      <c r="C49" s="9" t="s">
        <v>74</v>
      </c>
      <c r="D49" s="7">
        <v>70000</v>
      </c>
      <c r="E49" s="9">
        <v>69725</v>
      </c>
      <c r="F49" s="191" t="s">
        <v>584</v>
      </c>
      <c r="G49" s="10">
        <f t="shared" si="0"/>
        <v>34863</v>
      </c>
      <c r="H49" s="10"/>
      <c r="I49" s="10"/>
      <c r="J49" s="10"/>
      <c r="K49" s="10"/>
    </row>
    <row r="50" ht="28.5" customHeight="1" spans="1:11">
      <c r="A50" s="19">
        <v>45</v>
      </c>
      <c r="B50" s="40" t="s">
        <v>585</v>
      </c>
      <c r="C50" s="38" t="s">
        <v>74</v>
      </c>
      <c r="D50" s="19">
        <v>50000</v>
      </c>
      <c r="E50" s="38">
        <v>49725</v>
      </c>
      <c r="F50" s="190" t="s">
        <v>586</v>
      </c>
      <c r="G50" s="2">
        <f t="shared" si="0"/>
        <v>24863</v>
      </c>
      <c r="H50" s="2"/>
      <c r="I50" s="2"/>
      <c r="J50" s="2"/>
      <c r="K50" s="2"/>
    </row>
    <row r="51" ht="28.5" customHeight="1" spans="1:11">
      <c r="A51" s="19">
        <v>46</v>
      </c>
      <c r="B51" s="40" t="s">
        <v>587</v>
      </c>
      <c r="C51" s="38" t="s">
        <v>74</v>
      </c>
      <c r="D51" s="19">
        <v>50000</v>
      </c>
      <c r="E51" s="38">
        <v>49725</v>
      </c>
      <c r="F51" s="190" t="s">
        <v>588</v>
      </c>
      <c r="G51" s="2">
        <f t="shared" si="0"/>
        <v>24863</v>
      </c>
      <c r="H51" s="2"/>
      <c r="I51" s="2"/>
      <c r="J51" s="2"/>
      <c r="K51" s="2"/>
    </row>
    <row r="52" ht="28.5" customHeight="1" spans="1:11">
      <c r="A52" s="23">
        <v>47</v>
      </c>
      <c r="B52" s="35" t="s">
        <v>589</v>
      </c>
      <c r="C52" s="25" t="s">
        <v>74</v>
      </c>
      <c r="D52" s="23">
        <v>75000</v>
      </c>
      <c r="E52" s="25">
        <v>74725</v>
      </c>
      <c r="F52" s="23"/>
      <c r="G52" s="27">
        <f t="shared" si="0"/>
        <v>37363</v>
      </c>
      <c r="H52" s="27"/>
      <c r="I52" s="27"/>
      <c r="J52" s="27"/>
      <c r="K52" s="27"/>
    </row>
    <row r="53" ht="28.5" customHeight="1" spans="1:11">
      <c r="A53" s="19">
        <v>48</v>
      </c>
      <c r="B53" s="37" t="s">
        <v>590</v>
      </c>
      <c r="C53" s="38" t="s">
        <v>74</v>
      </c>
      <c r="D53" s="19">
        <v>46559</v>
      </c>
      <c r="E53" s="38">
        <v>42684</v>
      </c>
      <c r="F53" s="190" t="s">
        <v>148</v>
      </c>
      <c r="G53" s="2">
        <f t="shared" si="0"/>
        <v>21342</v>
      </c>
      <c r="H53" s="2"/>
      <c r="I53" s="2"/>
      <c r="J53" s="2"/>
      <c r="K53" s="2"/>
    </row>
    <row r="54" ht="28.5" customHeight="1" spans="1:11">
      <c r="A54" s="19">
        <v>49</v>
      </c>
      <c r="B54" s="37" t="s">
        <v>591</v>
      </c>
      <c r="C54" s="38" t="s">
        <v>74</v>
      </c>
      <c r="D54" s="19">
        <v>40548</v>
      </c>
      <c r="E54" s="38">
        <v>36673</v>
      </c>
      <c r="F54" s="190" t="s">
        <v>150</v>
      </c>
      <c r="G54" s="2">
        <f t="shared" si="0"/>
        <v>18337</v>
      </c>
      <c r="H54" s="2"/>
      <c r="I54" s="2"/>
      <c r="J54" s="2"/>
      <c r="K54" s="2"/>
    </row>
    <row r="55" ht="28.5" customHeight="1" spans="1:11">
      <c r="A55" s="19">
        <v>50</v>
      </c>
      <c r="B55" s="37" t="s">
        <v>592</v>
      </c>
      <c r="C55" s="38" t="s">
        <v>74</v>
      </c>
      <c r="D55" s="19">
        <v>36045</v>
      </c>
      <c r="E55" s="38">
        <v>36170</v>
      </c>
      <c r="F55" s="190" t="s">
        <v>593</v>
      </c>
      <c r="G55" s="2">
        <f t="shared" si="0"/>
        <v>18085</v>
      </c>
      <c r="H55" s="2"/>
      <c r="I55" s="2"/>
      <c r="J55" s="2"/>
      <c r="K55" s="2"/>
    </row>
    <row r="56" ht="28.5" customHeight="1" spans="1:11">
      <c r="A56" s="7">
        <v>51</v>
      </c>
      <c r="B56" s="8" t="s">
        <v>594</v>
      </c>
      <c r="C56" s="9" t="s">
        <v>74</v>
      </c>
      <c r="D56" s="7">
        <v>38000</v>
      </c>
      <c r="E56" s="9">
        <v>37725</v>
      </c>
      <c r="F56" s="191" t="s">
        <v>595</v>
      </c>
      <c r="G56" s="10">
        <f t="shared" si="0"/>
        <v>18863</v>
      </c>
      <c r="H56" s="10"/>
      <c r="I56" s="10"/>
      <c r="J56" s="10"/>
      <c r="K56" s="10"/>
    </row>
    <row r="57" ht="28.5" customHeight="1" spans="1:11">
      <c r="A57" s="19">
        <v>52</v>
      </c>
      <c r="B57" s="37" t="s">
        <v>596</v>
      </c>
      <c r="C57" s="38" t="s">
        <v>74</v>
      </c>
      <c r="D57" s="19">
        <v>45000</v>
      </c>
      <c r="E57" s="38">
        <v>44725</v>
      </c>
      <c r="F57" s="190" t="s">
        <v>597</v>
      </c>
      <c r="G57" s="2">
        <f t="shared" si="0"/>
        <v>22363</v>
      </c>
      <c r="H57" s="2"/>
      <c r="I57" s="2"/>
      <c r="J57" s="2"/>
      <c r="K57" s="2"/>
    </row>
    <row r="58" ht="28.5" customHeight="1" spans="1:11">
      <c r="A58" s="19">
        <v>53</v>
      </c>
      <c r="B58" s="37" t="s">
        <v>598</v>
      </c>
      <c r="C58" s="38" t="s">
        <v>82</v>
      </c>
      <c r="D58" s="19">
        <v>20000</v>
      </c>
      <c r="E58" s="38">
        <v>19775</v>
      </c>
      <c r="F58" s="190" t="s">
        <v>599</v>
      </c>
      <c r="G58" s="2">
        <f t="shared" si="0"/>
        <v>9888</v>
      </c>
      <c r="H58" s="2"/>
      <c r="I58" s="2"/>
      <c r="J58" s="2"/>
      <c r="K58" s="2"/>
    </row>
    <row r="59" ht="28.5" customHeight="1" spans="1:11">
      <c r="A59" s="19">
        <v>54</v>
      </c>
      <c r="B59" s="37" t="s">
        <v>600</v>
      </c>
      <c r="C59" s="38" t="s">
        <v>61</v>
      </c>
      <c r="D59" s="19">
        <v>34510</v>
      </c>
      <c r="E59" s="38">
        <v>34235</v>
      </c>
      <c r="F59" s="190" t="s">
        <v>601</v>
      </c>
      <c r="G59" s="2">
        <f t="shared" si="0"/>
        <v>17118</v>
      </c>
      <c r="H59" s="2"/>
      <c r="I59" s="2"/>
      <c r="J59" s="2"/>
      <c r="K59" s="2"/>
    </row>
    <row r="60" ht="28.5" customHeight="1" spans="1:11">
      <c r="A60" s="19">
        <v>55</v>
      </c>
      <c r="B60" s="37" t="s">
        <v>602</v>
      </c>
      <c r="C60" s="38" t="s">
        <v>61</v>
      </c>
      <c r="D60" s="19">
        <v>65000</v>
      </c>
      <c r="E60" s="38">
        <v>64725</v>
      </c>
      <c r="F60" s="190" t="s">
        <v>141</v>
      </c>
      <c r="G60" s="2">
        <f t="shared" si="0"/>
        <v>32363</v>
      </c>
      <c r="H60" s="2"/>
      <c r="I60" s="2"/>
      <c r="J60" s="2"/>
      <c r="K60" s="2"/>
    </row>
    <row r="61" ht="28.5" customHeight="1" spans="1:11">
      <c r="A61" s="19">
        <v>56</v>
      </c>
      <c r="B61" s="37" t="s">
        <v>603</v>
      </c>
      <c r="C61" s="38" t="s">
        <v>61</v>
      </c>
      <c r="D61" s="19">
        <v>23000</v>
      </c>
      <c r="E61" s="38">
        <v>22725</v>
      </c>
      <c r="F61" s="190" t="s">
        <v>604</v>
      </c>
      <c r="G61" s="2">
        <f t="shared" si="0"/>
        <v>11363</v>
      </c>
      <c r="H61" s="2"/>
      <c r="I61" s="2"/>
      <c r="J61" s="2"/>
      <c r="K61" s="2"/>
    </row>
    <row r="62" ht="28.5" customHeight="1" spans="1:11">
      <c r="A62" s="7">
        <v>57</v>
      </c>
      <c r="B62" s="8" t="s">
        <v>605</v>
      </c>
      <c r="C62" s="9" t="s">
        <v>61</v>
      </c>
      <c r="D62" s="7">
        <v>59890</v>
      </c>
      <c r="E62" s="9">
        <v>59615</v>
      </c>
      <c r="F62" s="191" t="s">
        <v>133</v>
      </c>
      <c r="G62" s="10">
        <f t="shared" si="0"/>
        <v>29808</v>
      </c>
      <c r="H62" s="10"/>
      <c r="I62" s="10"/>
      <c r="J62" s="10"/>
      <c r="K62" s="10"/>
    </row>
    <row r="63" ht="28.5" customHeight="1" spans="1:11">
      <c r="A63" s="19">
        <v>58</v>
      </c>
      <c r="B63" s="37" t="s">
        <v>606</v>
      </c>
      <c r="C63" s="38" t="s">
        <v>61</v>
      </c>
      <c r="D63" s="19">
        <v>33460</v>
      </c>
      <c r="E63" s="38">
        <v>33185</v>
      </c>
      <c r="F63" s="190" t="s">
        <v>607</v>
      </c>
      <c r="G63" s="2">
        <f t="shared" si="0"/>
        <v>16593</v>
      </c>
      <c r="H63" s="2"/>
      <c r="I63" s="2"/>
      <c r="J63" s="2"/>
      <c r="K63" s="2"/>
    </row>
    <row r="64" ht="28.5" customHeight="1" spans="1:11">
      <c r="A64" s="19">
        <v>59</v>
      </c>
      <c r="B64" s="37" t="s">
        <v>608</v>
      </c>
      <c r="C64" s="38" t="s">
        <v>61</v>
      </c>
      <c r="D64" s="19">
        <v>17000</v>
      </c>
      <c r="E64" s="38">
        <v>16775</v>
      </c>
      <c r="F64" s="190" t="s">
        <v>609</v>
      </c>
      <c r="G64" s="2">
        <f t="shared" si="0"/>
        <v>8388</v>
      </c>
      <c r="H64" s="2"/>
      <c r="I64" s="2"/>
      <c r="J64" s="2"/>
      <c r="K64" s="2"/>
    </row>
    <row r="65" ht="28.5" customHeight="1" spans="1:11">
      <c r="A65" s="19">
        <v>60</v>
      </c>
      <c r="B65" s="37" t="s">
        <v>610</v>
      </c>
      <c r="C65" s="38" t="s">
        <v>61</v>
      </c>
      <c r="D65" s="19">
        <v>75000</v>
      </c>
      <c r="E65" s="38">
        <v>74725</v>
      </c>
      <c r="F65" s="190" t="s">
        <v>611</v>
      </c>
      <c r="G65" s="2">
        <f t="shared" si="0"/>
        <v>37363</v>
      </c>
      <c r="H65" s="2"/>
      <c r="I65" s="2"/>
      <c r="J65" s="2"/>
      <c r="K65" s="2"/>
    </row>
    <row r="66" ht="28.5" customHeight="1" spans="1:11">
      <c r="A66" s="19">
        <v>61</v>
      </c>
      <c r="B66" s="37" t="s">
        <v>612</v>
      </c>
      <c r="C66" s="38" t="s">
        <v>61</v>
      </c>
      <c r="D66" s="19">
        <v>18000</v>
      </c>
      <c r="E66" s="38">
        <v>17775</v>
      </c>
      <c r="F66" s="190" t="s">
        <v>613</v>
      </c>
      <c r="G66" s="2">
        <f t="shared" si="0"/>
        <v>8888</v>
      </c>
      <c r="H66" s="2"/>
      <c r="I66" s="2"/>
      <c r="J66" s="2"/>
      <c r="K66" s="2"/>
    </row>
    <row r="67" ht="28.5" customHeight="1" spans="1:11">
      <c r="A67" s="19">
        <v>62</v>
      </c>
      <c r="B67" s="37" t="s">
        <v>614</v>
      </c>
      <c r="C67" s="38" t="s">
        <v>61</v>
      </c>
      <c r="D67" s="19">
        <v>50000</v>
      </c>
      <c r="E67" s="38">
        <v>49725</v>
      </c>
      <c r="F67" s="190" t="s">
        <v>615</v>
      </c>
      <c r="G67" s="2">
        <f t="shared" si="0"/>
        <v>24863</v>
      </c>
      <c r="H67" s="2"/>
      <c r="I67" s="2"/>
      <c r="J67" s="2"/>
      <c r="K67" s="2"/>
    </row>
    <row r="68" ht="28.5" customHeight="1" spans="1:11">
      <c r="A68" s="19">
        <v>63</v>
      </c>
      <c r="B68" s="37" t="s">
        <v>616</v>
      </c>
      <c r="C68" s="38" t="s">
        <v>61</v>
      </c>
      <c r="D68" s="19">
        <v>31460</v>
      </c>
      <c r="E68" s="38">
        <v>31185</v>
      </c>
      <c r="F68" s="190" t="s">
        <v>143</v>
      </c>
      <c r="G68" s="2">
        <f t="shared" si="0"/>
        <v>15593</v>
      </c>
      <c r="H68" s="2"/>
      <c r="I68" s="2"/>
      <c r="J68" s="2"/>
      <c r="K68" s="2"/>
    </row>
    <row r="69" ht="28.5" customHeight="1" spans="1:11">
      <c r="A69" s="19">
        <v>64</v>
      </c>
      <c r="B69" s="37" t="s">
        <v>617</v>
      </c>
      <c r="C69" s="38" t="s">
        <v>61</v>
      </c>
      <c r="D69" s="19">
        <v>65000</v>
      </c>
      <c r="E69" s="38">
        <v>64725</v>
      </c>
      <c r="F69" s="190" t="s">
        <v>618</v>
      </c>
      <c r="G69" s="2">
        <f t="shared" si="0"/>
        <v>32363</v>
      </c>
      <c r="H69" s="2"/>
      <c r="I69" s="2"/>
      <c r="J69" s="2"/>
      <c r="K69" s="2"/>
    </row>
    <row r="70" ht="28.5" customHeight="1" spans="1:11">
      <c r="A70" s="19">
        <v>65</v>
      </c>
      <c r="B70" s="37" t="s">
        <v>619</v>
      </c>
      <c r="C70" s="38" t="s">
        <v>61</v>
      </c>
      <c r="D70" s="19">
        <v>15000</v>
      </c>
      <c r="E70" s="38">
        <v>14970</v>
      </c>
      <c r="F70" s="190" t="s">
        <v>179</v>
      </c>
      <c r="G70" s="2">
        <f t="shared" si="0"/>
        <v>7485</v>
      </c>
      <c r="H70" s="2"/>
      <c r="I70" s="2"/>
      <c r="J70" s="2"/>
      <c r="K70" s="2"/>
    </row>
    <row r="71" ht="28.5" customHeight="1" spans="1:11">
      <c r="A71" s="19">
        <v>66</v>
      </c>
      <c r="B71" s="37" t="s">
        <v>620</v>
      </c>
      <c r="C71" s="38" t="s">
        <v>61</v>
      </c>
      <c r="D71" s="19">
        <v>15000</v>
      </c>
      <c r="E71" s="38">
        <v>13170</v>
      </c>
      <c r="F71" s="190" t="s">
        <v>621</v>
      </c>
      <c r="G71" s="2">
        <f t="shared" si="0"/>
        <v>6585</v>
      </c>
      <c r="H71" s="2"/>
      <c r="I71" s="2"/>
      <c r="J71" s="2"/>
      <c r="K71" s="2"/>
    </row>
    <row r="72" ht="28.5" customHeight="1" spans="1:11">
      <c r="A72" s="19">
        <v>67</v>
      </c>
      <c r="B72" s="37" t="s">
        <v>622</v>
      </c>
      <c r="C72" s="38" t="s">
        <v>61</v>
      </c>
      <c r="D72" s="19">
        <v>25000</v>
      </c>
      <c r="E72" s="38">
        <v>24725</v>
      </c>
      <c r="F72" s="190" t="s">
        <v>623</v>
      </c>
      <c r="G72" s="2">
        <f t="shared" si="0"/>
        <v>12363</v>
      </c>
      <c r="H72" s="2"/>
      <c r="I72" s="2"/>
      <c r="J72" s="2"/>
      <c r="K72" s="2"/>
    </row>
    <row r="73" ht="28.5" customHeight="1" spans="1:11">
      <c r="A73" s="19"/>
      <c r="B73" s="37"/>
      <c r="C73" s="38"/>
      <c r="D73" s="19"/>
      <c r="E73" s="38"/>
      <c r="F73" s="19"/>
      <c r="G73" s="2"/>
      <c r="H73" s="2"/>
      <c r="I73" s="2"/>
      <c r="J73" s="2"/>
      <c r="K73" s="2"/>
    </row>
    <row r="74" ht="28.5" customHeight="1" spans="1:11">
      <c r="A74" s="19">
        <v>68</v>
      </c>
      <c r="B74" s="37" t="s">
        <v>624</v>
      </c>
      <c r="C74" s="38" t="s">
        <v>43</v>
      </c>
      <c r="D74" s="19">
        <v>40395</v>
      </c>
      <c r="E74" s="38">
        <v>36520</v>
      </c>
      <c r="F74" s="190" t="s">
        <v>186</v>
      </c>
      <c r="G74" s="2">
        <f t="shared" ref="G74:G105" si="1">ROUND(E74/2,0)</f>
        <v>18260</v>
      </c>
      <c r="H74" s="2"/>
      <c r="I74" s="2"/>
      <c r="J74" s="2"/>
      <c r="K74" s="2"/>
    </row>
    <row r="75" ht="28.5" customHeight="1" spans="1:11">
      <c r="A75" s="19">
        <v>69</v>
      </c>
      <c r="B75" s="37" t="s">
        <v>625</v>
      </c>
      <c r="C75" s="38" t="s">
        <v>74</v>
      </c>
      <c r="D75" s="19">
        <v>49126</v>
      </c>
      <c r="E75" s="38">
        <v>45251</v>
      </c>
      <c r="F75" s="190" t="s">
        <v>315</v>
      </c>
      <c r="G75" s="2">
        <f t="shared" si="1"/>
        <v>22626</v>
      </c>
      <c r="H75" s="2"/>
      <c r="I75" s="2"/>
      <c r="J75" s="2"/>
      <c r="K75" s="2"/>
    </row>
    <row r="76" ht="28.5" customHeight="1" spans="1:11">
      <c r="A76" s="19">
        <v>70</v>
      </c>
      <c r="B76" s="37" t="s">
        <v>626</v>
      </c>
      <c r="C76" s="38" t="s">
        <v>74</v>
      </c>
      <c r="D76" s="19">
        <v>50000</v>
      </c>
      <c r="E76" s="38">
        <v>49725</v>
      </c>
      <c r="F76" s="190" t="s">
        <v>627</v>
      </c>
      <c r="G76" s="2">
        <f t="shared" si="1"/>
        <v>24863</v>
      </c>
      <c r="H76" s="2"/>
      <c r="I76" s="2"/>
      <c r="J76" s="2"/>
      <c r="K76" s="2"/>
    </row>
    <row r="77" ht="28.5" customHeight="1" spans="1:11">
      <c r="A77" s="7">
        <v>71</v>
      </c>
      <c r="B77" s="8" t="s">
        <v>628</v>
      </c>
      <c r="C77" s="9" t="s">
        <v>74</v>
      </c>
      <c r="D77" s="7">
        <v>90000</v>
      </c>
      <c r="E77" s="9">
        <v>89725</v>
      </c>
      <c r="F77" s="7"/>
      <c r="G77" s="10">
        <f t="shared" si="1"/>
        <v>44863</v>
      </c>
      <c r="H77" s="10"/>
      <c r="I77" s="10"/>
      <c r="J77" s="10"/>
      <c r="K77" s="10"/>
    </row>
    <row r="78" ht="28.5" customHeight="1" spans="1:11">
      <c r="A78" s="19">
        <v>72</v>
      </c>
      <c r="B78" s="37" t="s">
        <v>629</v>
      </c>
      <c r="C78" s="38" t="s">
        <v>74</v>
      </c>
      <c r="D78" s="19">
        <v>75000</v>
      </c>
      <c r="E78" s="38">
        <v>74725</v>
      </c>
      <c r="F78" s="190" t="s">
        <v>630</v>
      </c>
      <c r="G78" s="2">
        <f t="shared" si="1"/>
        <v>37363</v>
      </c>
      <c r="H78" s="2"/>
      <c r="I78" s="2"/>
      <c r="J78" s="2"/>
      <c r="K78" s="2"/>
    </row>
    <row r="79" ht="28.5" customHeight="1" spans="1:11">
      <c r="A79" s="19">
        <v>73</v>
      </c>
      <c r="B79" s="37" t="s">
        <v>631</v>
      </c>
      <c r="C79" s="38" t="s">
        <v>74</v>
      </c>
      <c r="D79" s="19">
        <v>50000</v>
      </c>
      <c r="E79" s="38">
        <v>49725</v>
      </c>
      <c r="F79" s="190" t="s">
        <v>632</v>
      </c>
      <c r="G79" s="2">
        <f t="shared" si="1"/>
        <v>24863</v>
      </c>
      <c r="H79" s="2"/>
      <c r="I79" s="2"/>
      <c r="J79" s="2"/>
      <c r="K79" s="2"/>
    </row>
    <row r="80" ht="28.5" customHeight="1" spans="1:11">
      <c r="A80" s="19">
        <v>74</v>
      </c>
      <c r="B80" s="37" t="s">
        <v>633</v>
      </c>
      <c r="C80" s="38" t="s">
        <v>61</v>
      </c>
      <c r="D80" s="19">
        <v>17000</v>
      </c>
      <c r="E80" s="38">
        <v>20725</v>
      </c>
      <c r="F80" s="190" t="s">
        <v>634</v>
      </c>
      <c r="G80" s="2">
        <f t="shared" si="1"/>
        <v>10363</v>
      </c>
      <c r="H80" s="2"/>
      <c r="I80" s="2"/>
      <c r="J80" s="2"/>
      <c r="K80" s="2"/>
    </row>
    <row r="81" ht="28.5" customHeight="1" spans="1:11">
      <c r="A81" s="23">
        <v>75</v>
      </c>
      <c r="B81" s="34" t="s">
        <v>635</v>
      </c>
      <c r="C81" s="25" t="s">
        <v>61</v>
      </c>
      <c r="D81" s="23">
        <v>24000</v>
      </c>
      <c r="E81" s="25">
        <v>23725</v>
      </c>
      <c r="F81" s="192" t="s">
        <v>636</v>
      </c>
      <c r="G81" s="27">
        <f t="shared" si="1"/>
        <v>11863</v>
      </c>
      <c r="H81" s="27"/>
      <c r="I81" s="27"/>
      <c r="J81" s="27"/>
      <c r="K81" s="27"/>
    </row>
    <row r="82" ht="28.5" customHeight="1" spans="1:11">
      <c r="A82" s="19">
        <v>76</v>
      </c>
      <c r="B82" s="37" t="s">
        <v>637</v>
      </c>
      <c r="C82" s="38" t="s">
        <v>61</v>
      </c>
      <c r="D82" s="19">
        <v>30000</v>
      </c>
      <c r="E82" s="38">
        <v>29725</v>
      </c>
      <c r="F82" s="190" t="s">
        <v>638</v>
      </c>
      <c r="G82" s="2">
        <f t="shared" si="1"/>
        <v>14863</v>
      </c>
      <c r="H82" s="2"/>
      <c r="I82" s="2"/>
      <c r="J82" s="2"/>
      <c r="K82" s="2"/>
    </row>
    <row r="83" ht="28.5" customHeight="1" spans="1:11">
      <c r="A83" s="19">
        <v>77</v>
      </c>
      <c r="B83" s="37" t="s">
        <v>639</v>
      </c>
      <c r="C83" s="38" t="s">
        <v>61</v>
      </c>
      <c r="D83" s="19">
        <v>32000</v>
      </c>
      <c r="E83" s="38">
        <v>31725</v>
      </c>
      <c r="F83" s="190" t="s">
        <v>640</v>
      </c>
      <c r="G83" s="2">
        <f t="shared" si="1"/>
        <v>15863</v>
      </c>
      <c r="H83" s="2"/>
      <c r="I83" s="2"/>
      <c r="J83" s="2"/>
      <c r="K83" s="2"/>
    </row>
    <row r="84" ht="28.5" customHeight="1" spans="1:11">
      <c r="A84" s="12">
        <v>78</v>
      </c>
      <c r="B84" s="13" t="s">
        <v>641</v>
      </c>
      <c r="C84" s="14" t="s">
        <v>61</v>
      </c>
      <c r="D84" s="12">
        <v>35000</v>
      </c>
      <c r="E84" s="14">
        <v>34725</v>
      </c>
      <c r="F84" s="193" t="s">
        <v>642</v>
      </c>
      <c r="G84" s="15">
        <f t="shared" si="1"/>
        <v>17363</v>
      </c>
      <c r="H84" s="15"/>
      <c r="I84" s="15"/>
      <c r="J84" s="15"/>
      <c r="K84" s="15"/>
    </row>
    <row r="85" ht="28.5" customHeight="1" spans="1:11">
      <c r="A85" s="19">
        <v>79</v>
      </c>
      <c r="B85" s="37" t="s">
        <v>643</v>
      </c>
      <c r="C85" s="38" t="s">
        <v>61</v>
      </c>
      <c r="D85" s="19">
        <v>35000</v>
      </c>
      <c r="E85" s="38">
        <v>34725</v>
      </c>
      <c r="F85" s="190" t="s">
        <v>644</v>
      </c>
      <c r="G85" s="2">
        <f t="shared" si="1"/>
        <v>17363</v>
      </c>
      <c r="H85" s="2"/>
      <c r="I85" s="2"/>
      <c r="J85" s="2"/>
      <c r="K85" s="2"/>
    </row>
    <row r="86" ht="28.5" customHeight="1" spans="1:11">
      <c r="A86" s="19">
        <v>80</v>
      </c>
      <c r="B86" s="37" t="s">
        <v>645</v>
      </c>
      <c r="C86" s="38" t="s">
        <v>646</v>
      </c>
      <c r="D86" s="19">
        <v>52000</v>
      </c>
      <c r="E86" s="38">
        <v>51770</v>
      </c>
      <c r="F86" s="190" t="s">
        <v>647</v>
      </c>
      <c r="G86" s="2">
        <f t="shared" si="1"/>
        <v>25885</v>
      </c>
      <c r="H86" s="2"/>
      <c r="I86" s="2"/>
      <c r="J86" s="2"/>
      <c r="K86" s="2"/>
    </row>
    <row r="87" ht="28.5" customHeight="1" spans="1:11">
      <c r="A87" s="19">
        <v>81</v>
      </c>
      <c r="B87" s="37" t="s">
        <v>648</v>
      </c>
      <c r="C87" s="38" t="s">
        <v>61</v>
      </c>
      <c r="D87" s="19">
        <v>29000</v>
      </c>
      <c r="E87" s="38">
        <v>28770</v>
      </c>
      <c r="F87" s="190" t="s">
        <v>649</v>
      </c>
      <c r="G87" s="2">
        <f t="shared" si="1"/>
        <v>14385</v>
      </c>
      <c r="H87" s="2"/>
      <c r="I87" s="2"/>
      <c r="J87" s="2"/>
      <c r="K87" s="2"/>
    </row>
    <row r="88" ht="28.5" customHeight="1" spans="1:11">
      <c r="A88" s="19">
        <v>82</v>
      </c>
      <c r="B88" s="37" t="s">
        <v>650</v>
      </c>
      <c r="C88" s="38" t="s">
        <v>61</v>
      </c>
      <c r="D88" s="19">
        <v>15000</v>
      </c>
      <c r="E88" s="38">
        <v>14970</v>
      </c>
      <c r="F88" s="190" t="s">
        <v>651</v>
      </c>
      <c r="G88" s="2">
        <f t="shared" si="1"/>
        <v>7485</v>
      </c>
      <c r="H88" s="2"/>
      <c r="I88" s="2"/>
      <c r="J88" s="2"/>
      <c r="K88" s="2"/>
    </row>
    <row r="89" ht="28.5" customHeight="1" spans="1:11">
      <c r="A89" s="19">
        <v>83</v>
      </c>
      <c r="B89" s="37" t="s">
        <v>652</v>
      </c>
      <c r="C89" s="38" t="s">
        <v>61</v>
      </c>
      <c r="D89" s="19">
        <v>50000</v>
      </c>
      <c r="E89" s="38">
        <v>49770</v>
      </c>
      <c r="F89" s="190" t="s">
        <v>653</v>
      </c>
      <c r="G89" s="2">
        <f t="shared" si="1"/>
        <v>24885</v>
      </c>
      <c r="H89" s="2"/>
      <c r="I89" s="2"/>
      <c r="J89" s="2"/>
      <c r="K89" s="2"/>
    </row>
    <row r="90" ht="28.5" customHeight="1" spans="1:11">
      <c r="A90" s="19">
        <v>84</v>
      </c>
      <c r="B90" s="37" t="s">
        <v>654</v>
      </c>
      <c r="C90" s="38" t="s">
        <v>61</v>
      </c>
      <c r="D90" s="19">
        <v>16000</v>
      </c>
      <c r="E90" s="38">
        <v>15820</v>
      </c>
      <c r="F90" s="190" t="s">
        <v>655</v>
      </c>
      <c r="G90" s="2">
        <f t="shared" si="1"/>
        <v>7910</v>
      </c>
      <c r="H90" s="2"/>
      <c r="I90" s="2"/>
      <c r="J90" s="2"/>
      <c r="K90" s="2"/>
    </row>
    <row r="91" ht="28.5" customHeight="1" spans="1:11">
      <c r="A91" s="19">
        <v>85</v>
      </c>
      <c r="B91" s="37" t="s">
        <v>656</v>
      </c>
      <c r="C91" s="38" t="s">
        <v>61</v>
      </c>
      <c r="D91" s="19">
        <v>12000</v>
      </c>
      <c r="E91" s="38">
        <v>11925</v>
      </c>
      <c r="F91" s="190" t="s">
        <v>657</v>
      </c>
      <c r="G91" s="2">
        <f t="shared" si="1"/>
        <v>5963</v>
      </c>
      <c r="H91" s="2"/>
      <c r="I91" s="2"/>
      <c r="J91" s="2"/>
      <c r="K91" s="2"/>
    </row>
    <row r="92" ht="28.5" customHeight="1" spans="1:11">
      <c r="A92" s="7">
        <v>86</v>
      </c>
      <c r="B92" s="8" t="s">
        <v>658</v>
      </c>
      <c r="C92" s="9" t="s">
        <v>61</v>
      </c>
      <c r="D92" s="7">
        <v>65000</v>
      </c>
      <c r="E92" s="9">
        <v>64725</v>
      </c>
      <c r="F92" s="191" t="s">
        <v>659</v>
      </c>
      <c r="G92" s="10">
        <f t="shared" si="1"/>
        <v>32363</v>
      </c>
      <c r="H92" s="10"/>
      <c r="I92" s="10"/>
      <c r="J92" s="10"/>
      <c r="K92" s="10"/>
    </row>
    <row r="93" ht="28.5" customHeight="1" spans="1:11">
      <c r="A93" s="23">
        <v>87</v>
      </c>
      <c r="B93" s="34" t="s">
        <v>660</v>
      </c>
      <c r="C93" s="25" t="s">
        <v>410</v>
      </c>
      <c r="D93" s="23">
        <v>50000</v>
      </c>
      <c r="E93" s="25">
        <v>49725</v>
      </c>
      <c r="F93" s="192" t="s">
        <v>661</v>
      </c>
      <c r="G93" s="27">
        <f t="shared" si="1"/>
        <v>24863</v>
      </c>
      <c r="H93" s="27"/>
      <c r="I93" s="27"/>
      <c r="J93" s="27"/>
      <c r="K93" s="27"/>
    </row>
    <row r="94" ht="28.5" customHeight="1" spans="1:11">
      <c r="A94" s="19">
        <v>88</v>
      </c>
      <c r="B94" s="37" t="s">
        <v>662</v>
      </c>
      <c r="C94" s="38" t="s">
        <v>102</v>
      </c>
      <c r="D94" s="19">
        <v>65000</v>
      </c>
      <c r="E94" s="38">
        <v>64725</v>
      </c>
      <c r="F94" s="190" t="s">
        <v>663</v>
      </c>
      <c r="G94" s="2">
        <f t="shared" si="1"/>
        <v>32363</v>
      </c>
      <c r="H94" s="2"/>
      <c r="I94" s="2"/>
      <c r="J94" s="2"/>
      <c r="K94" s="2"/>
    </row>
    <row r="95" ht="28.5" customHeight="1" spans="1:11">
      <c r="A95" s="19">
        <v>89</v>
      </c>
      <c r="B95" s="37" t="s">
        <v>664</v>
      </c>
      <c r="C95" s="38" t="s">
        <v>82</v>
      </c>
      <c r="D95" s="19">
        <v>35000</v>
      </c>
      <c r="E95" s="38">
        <v>34725</v>
      </c>
      <c r="F95" s="190" t="s">
        <v>665</v>
      </c>
      <c r="G95" s="2">
        <f t="shared" si="1"/>
        <v>17363</v>
      </c>
      <c r="H95" s="2"/>
      <c r="I95" s="2"/>
      <c r="J95" s="2"/>
      <c r="K95" s="2"/>
    </row>
    <row r="96" ht="28.5" customHeight="1" spans="1:11">
      <c r="A96" s="19">
        <v>90</v>
      </c>
      <c r="B96" s="37" t="s">
        <v>666</v>
      </c>
      <c r="C96" s="38" t="s">
        <v>82</v>
      </c>
      <c r="D96" s="19">
        <v>45000</v>
      </c>
      <c r="E96" s="38">
        <v>44725</v>
      </c>
      <c r="F96" s="190" t="s">
        <v>667</v>
      </c>
      <c r="G96" s="2">
        <f t="shared" si="1"/>
        <v>22363</v>
      </c>
      <c r="H96" s="2"/>
      <c r="I96" s="2"/>
      <c r="J96" s="2"/>
      <c r="K96" s="2"/>
    </row>
    <row r="97" ht="28.5" customHeight="1" spans="1:11">
      <c r="A97" s="19">
        <v>91</v>
      </c>
      <c r="B97" s="37" t="s">
        <v>668</v>
      </c>
      <c r="C97" s="38" t="s">
        <v>82</v>
      </c>
      <c r="D97" s="19">
        <v>35000</v>
      </c>
      <c r="E97" s="38">
        <v>34725</v>
      </c>
      <c r="F97" s="190" t="s">
        <v>669</v>
      </c>
      <c r="G97" s="2">
        <f t="shared" si="1"/>
        <v>17363</v>
      </c>
      <c r="H97" s="2"/>
      <c r="I97" s="2"/>
      <c r="J97" s="2"/>
      <c r="K97" s="2"/>
    </row>
    <row r="98" ht="28.5" customHeight="1" spans="1:11">
      <c r="A98" s="12">
        <v>92</v>
      </c>
      <c r="B98" s="13" t="s">
        <v>670</v>
      </c>
      <c r="C98" s="14" t="s">
        <v>82</v>
      </c>
      <c r="D98" s="12">
        <v>36000</v>
      </c>
      <c r="E98" s="14">
        <v>35725</v>
      </c>
      <c r="F98" s="193" t="s">
        <v>671</v>
      </c>
      <c r="G98" s="15">
        <f t="shared" si="1"/>
        <v>17863</v>
      </c>
      <c r="H98" s="15"/>
      <c r="I98" s="15"/>
      <c r="J98" s="15"/>
      <c r="K98" s="15"/>
    </row>
    <row r="99" ht="28.5" customHeight="1" spans="1:11">
      <c r="A99" s="12">
        <v>93</v>
      </c>
      <c r="B99" s="13" t="s">
        <v>672</v>
      </c>
      <c r="C99" s="14" t="s">
        <v>82</v>
      </c>
      <c r="D99" s="12">
        <v>35000</v>
      </c>
      <c r="E99" s="14">
        <v>34725</v>
      </c>
      <c r="F99" s="193" t="s">
        <v>673</v>
      </c>
      <c r="G99" s="15">
        <f t="shared" si="1"/>
        <v>17363</v>
      </c>
      <c r="H99" s="15"/>
      <c r="I99" s="15"/>
      <c r="J99" s="15"/>
      <c r="K99" s="15"/>
    </row>
    <row r="100" ht="28.5" customHeight="1" spans="1:11">
      <c r="A100" s="19">
        <v>94</v>
      </c>
      <c r="B100" s="37" t="s">
        <v>674</v>
      </c>
      <c r="C100" s="38" t="s">
        <v>82</v>
      </c>
      <c r="D100" s="19">
        <v>50000</v>
      </c>
      <c r="E100" s="38">
        <v>49725</v>
      </c>
      <c r="F100" s="190" t="s">
        <v>675</v>
      </c>
      <c r="G100" s="2">
        <f t="shared" si="1"/>
        <v>24863</v>
      </c>
      <c r="H100" s="2"/>
      <c r="I100" s="2"/>
      <c r="J100" s="2"/>
      <c r="K100" s="2"/>
    </row>
    <row r="101" ht="28.5" customHeight="1" spans="1:11">
      <c r="A101" s="19">
        <v>95</v>
      </c>
      <c r="B101" s="37" t="s">
        <v>676</v>
      </c>
      <c r="C101" s="38" t="s">
        <v>43</v>
      </c>
      <c r="D101" s="19">
        <v>75085</v>
      </c>
      <c r="E101" s="38">
        <v>74810</v>
      </c>
      <c r="F101" s="190" t="s">
        <v>326</v>
      </c>
      <c r="G101" s="2">
        <f t="shared" si="1"/>
        <v>37405</v>
      </c>
      <c r="H101" s="2"/>
      <c r="I101" s="2"/>
      <c r="J101" s="2"/>
      <c r="K101" s="2"/>
    </row>
    <row r="102" ht="28.5" customHeight="1" spans="1:11">
      <c r="A102" s="19">
        <v>96</v>
      </c>
      <c r="B102" s="37" t="s">
        <v>677</v>
      </c>
      <c r="C102" s="38" t="s">
        <v>678</v>
      </c>
      <c r="D102" s="19">
        <v>35000</v>
      </c>
      <c r="E102" s="38">
        <v>34725</v>
      </c>
      <c r="F102" s="190" t="s">
        <v>679</v>
      </c>
      <c r="G102" s="2">
        <f t="shared" si="1"/>
        <v>17363</v>
      </c>
      <c r="H102" s="2"/>
      <c r="I102" s="2"/>
      <c r="J102" s="2"/>
      <c r="K102" s="2"/>
    </row>
    <row r="103" ht="28.5" customHeight="1" spans="1:11">
      <c r="A103" s="19">
        <v>97</v>
      </c>
      <c r="B103" s="37" t="s">
        <v>680</v>
      </c>
      <c r="C103" s="38" t="s">
        <v>61</v>
      </c>
      <c r="D103" s="19">
        <v>20000</v>
      </c>
      <c r="E103" s="38">
        <v>19775</v>
      </c>
      <c r="F103" s="190" t="s">
        <v>681</v>
      </c>
      <c r="G103" s="2">
        <f t="shared" si="1"/>
        <v>9888</v>
      </c>
      <c r="H103" s="2"/>
      <c r="I103" s="2"/>
      <c r="J103" s="2"/>
      <c r="K103" s="2"/>
    </row>
    <row r="104" ht="28.5" customHeight="1" spans="1:11">
      <c r="A104" s="23">
        <v>98</v>
      </c>
      <c r="B104" s="34" t="s">
        <v>682</v>
      </c>
      <c r="C104" s="25" t="s">
        <v>61</v>
      </c>
      <c r="D104" s="23">
        <v>23000</v>
      </c>
      <c r="E104" s="25">
        <v>22770</v>
      </c>
      <c r="F104" s="192" t="s">
        <v>683</v>
      </c>
      <c r="G104" s="27">
        <f t="shared" si="1"/>
        <v>11385</v>
      </c>
      <c r="H104" s="27"/>
      <c r="I104" s="27"/>
      <c r="J104" s="27"/>
      <c r="K104" s="27"/>
    </row>
    <row r="105" ht="28.5" customHeight="1" spans="1:11">
      <c r="A105" s="23">
        <v>99</v>
      </c>
      <c r="B105" s="34" t="s">
        <v>684</v>
      </c>
      <c r="C105" s="25" t="s">
        <v>61</v>
      </c>
      <c r="D105" s="23">
        <v>37000</v>
      </c>
      <c r="E105" s="25">
        <v>36725</v>
      </c>
      <c r="F105" s="192" t="s">
        <v>685</v>
      </c>
      <c r="G105" s="27">
        <f t="shared" si="1"/>
        <v>18363</v>
      </c>
      <c r="H105" s="27"/>
      <c r="I105" s="27"/>
      <c r="J105" s="27"/>
      <c r="K105" s="27"/>
    </row>
    <row r="106" ht="28.5" customHeight="1" spans="1:11">
      <c r="A106" s="23"/>
      <c r="B106" s="34"/>
      <c r="C106" s="25"/>
      <c r="D106" s="23"/>
      <c r="E106" s="25"/>
      <c r="F106" s="23"/>
      <c r="G106" s="27"/>
      <c r="H106" s="27"/>
      <c r="I106" s="27"/>
      <c r="J106" s="27"/>
      <c r="K106" s="27"/>
    </row>
    <row r="107" ht="28.5" customHeight="1" spans="1:11">
      <c r="A107" s="19">
        <v>100</v>
      </c>
      <c r="B107" s="37" t="s">
        <v>349</v>
      </c>
      <c r="C107" s="38" t="s">
        <v>686</v>
      </c>
      <c r="D107" s="38">
        <v>74994</v>
      </c>
      <c r="E107" s="38">
        <v>71119</v>
      </c>
      <c r="F107" s="190" t="s">
        <v>687</v>
      </c>
      <c r="G107" s="2">
        <f t="shared" ref="G107:G159" si="2">ROUND(E107/2,0)</f>
        <v>35560</v>
      </c>
      <c r="H107" s="2"/>
      <c r="I107" s="2"/>
      <c r="J107" s="2"/>
      <c r="K107" s="2"/>
    </row>
    <row r="108" ht="28.5" customHeight="1" spans="1:11">
      <c r="A108" s="19">
        <v>101</v>
      </c>
      <c r="B108" s="37" t="s">
        <v>355</v>
      </c>
      <c r="C108" s="38" t="s">
        <v>74</v>
      </c>
      <c r="D108" s="19">
        <v>32905</v>
      </c>
      <c r="E108" s="38">
        <v>32630</v>
      </c>
      <c r="F108" s="190" t="s">
        <v>356</v>
      </c>
      <c r="G108" s="2">
        <f t="shared" si="2"/>
        <v>16315</v>
      </c>
      <c r="H108" s="2"/>
      <c r="I108" s="2"/>
      <c r="J108" s="2"/>
      <c r="K108" s="2"/>
    </row>
    <row r="109" ht="28.5" customHeight="1" spans="1:11">
      <c r="A109" s="19">
        <v>102</v>
      </c>
      <c r="B109" s="37" t="s">
        <v>688</v>
      </c>
      <c r="C109" s="38" t="s">
        <v>74</v>
      </c>
      <c r="D109" s="19">
        <v>32905</v>
      </c>
      <c r="E109" s="38">
        <v>32630</v>
      </c>
      <c r="F109" s="190" t="s">
        <v>689</v>
      </c>
      <c r="G109" s="2">
        <f t="shared" si="2"/>
        <v>16315</v>
      </c>
      <c r="H109" s="2"/>
      <c r="I109" s="2"/>
      <c r="J109" s="2"/>
      <c r="K109" s="2"/>
    </row>
    <row r="110" ht="28.5" customHeight="1" spans="1:11">
      <c r="A110" s="19">
        <v>103</v>
      </c>
      <c r="B110" s="37" t="s">
        <v>690</v>
      </c>
      <c r="C110" s="38" t="s">
        <v>61</v>
      </c>
      <c r="D110" s="19">
        <v>50000</v>
      </c>
      <c r="E110" s="38">
        <v>49725</v>
      </c>
      <c r="F110" s="190" t="s">
        <v>691</v>
      </c>
      <c r="G110" s="2">
        <f t="shared" si="2"/>
        <v>24863</v>
      </c>
      <c r="H110" s="2"/>
      <c r="I110" s="2"/>
      <c r="J110" s="2"/>
      <c r="K110" s="2"/>
    </row>
    <row r="111" ht="28.5" customHeight="1" spans="1:11">
      <c r="A111" s="19">
        <v>104</v>
      </c>
      <c r="B111" s="37" t="s">
        <v>692</v>
      </c>
      <c r="C111" s="38" t="s">
        <v>61</v>
      </c>
      <c r="D111" s="19">
        <v>35000</v>
      </c>
      <c r="E111" s="38">
        <v>34725</v>
      </c>
      <c r="F111" s="190" t="s">
        <v>693</v>
      </c>
      <c r="G111" s="2">
        <f t="shared" si="2"/>
        <v>17363</v>
      </c>
      <c r="H111" s="2"/>
      <c r="I111" s="2"/>
      <c r="J111" s="2"/>
      <c r="K111" s="2"/>
    </row>
    <row r="112" ht="28.5" customHeight="1" spans="1:11">
      <c r="A112" s="19">
        <v>105</v>
      </c>
      <c r="B112" s="37" t="s">
        <v>359</v>
      </c>
      <c r="C112" s="38" t="s">
        <v>61</v>
      </c>
      <c r="D112" s="19">
        <v>23460</v>
      </c>
      <c r="E112" s="38">
        <v>19585</v>
      </c>
      <c r="F112" s="190" t="s">
        <v>360</v>
      </c>
      <c r="G112" s="2">
        <f t="shared" si="2"/>
        <v>9793</v>
      </c>
      <c r="H112" s="2"/>
      <c r="I112" s="2"/>
      <c r="J112" s="2"/>
      <c r="K112" s="2"/>
    </row>
    <row r="113" ht="28.5" customHeight="1" spans="1:11">
      <c r="A113" s="19">
        <v>106</v>
      </c>
      <c r="B113" s="37" t="s">
        <v>694</v>
      </c>
      <c r="C113" s="38" t="s">
        <v>61</v>
      </c>
      <c r="D113" s="19">
        <v>35000</v>
      </c>
      <c r="E113" s="38">
        <v>34725</v>
      </c>
      <c r="F113" s="190" t="s">
        <v>695</v>
      </c>
      <c r="G113" s="2">
        <f t="shared" si="2"/>
        <v>17363</v>
      </c>
      <c r="H113" s="2"/>
      <c r="I113" s="2"/>
      <c r="J113" s="2"/>
      <c r="K113" s="2"/>
    </row>
    <row r="114" ht="28.5" customHeight="1" spans="1:11">
      <c r="A114" s="19">
        <v>107</v>
      </c>
      <c r="B114" s="37" t="s">
        <v>365</v>
      </c>
      <c r="C114" s="38" t="s">
        <v>696</v>
      </c>
      <c r="D114" s="38">
        <v>110277</v>
      </c>
      <c r="E114" s="38">
        <v>106402</v>
      </c>
      <c r="F114" s="190" t="s">
        <v>367</v>
      </c>
      <c r="G114" s="2">
        <f t="shared" si="2"/>
        <v>53201</v>
      </c>
      <c r="H114" s="2"/>
      <c r="I114" s="2"/>
      <c r="J114" s="2"/>
      <c r="K114" s="2"/>
    </row>
    <row r="115" ht="28.5" customHeight="1" spans="1:11">
      <c r="A115" s="19">
        <v>108</v>
      </c>
      <c r="B115" s="37" t="s">
        <v>697</v>
      </c>
      <c r="C115" s="38" t="s">
        <v>698</v>
      </c>
      <c r="D115" s="19">
        <v>54103</v>
      </c>
      <c r="E115" s="38">
        <v>53962</v>
      </c>
      <c r="F115" s="190" t="s">
        <v>370</v>
      </c>
      <c r="G115" s="2">
        <f t="shared" si="2"/>
        <v>26981</v>
      </c>
      <c r="H115" s="2"/>
      <c r="I115" s="2"/>
      <c r="J115" s="2"/>
      <c r="K115" s="2"/>
    </row>
    <row r="116" ht="28.5" customHeight="1" spans="1:11">
      <c r="A116" s="19">
        <v>109</v>
      </c>
      <c r="B116" s="37" t="s">
        <v>699</v>
      </c>
      <c r="C116" s="38" t="s">
        <v>74</v>
      </c>
      <c r="D116" s="19">
        <v>42275</v>
      </c>
      <c r="E116" s="38">
        <v>42000</v>
      </c>
      <c r="F116" s="190" t="s">
        <v>700</v>
      </c>
      <c r="G116" s="2">
        <f t="shared" si="2"/>
        <v>21000</v>
      </c>
      <c r="H116" s="2"/>
      <c r="I116" s="2"/>
      <c r="J116" s="2"/>
      <c r="K116" s="2"/>
    </row>
    <row r="117" ht="28.5" customHeight="1" spans="1:11">
      <c r="A117" s="19">
        <v>110</v>
      </c>
      <c r="B117" s="37" t="s">
        <v>701</v>
      </c>
      <c r="C117" s="38" t="s">
        <v>702</v>
      </c>
      <c r="D117" s="19">
        <v>75085</v>
      </c>
      <c r="E117" s="38">
        <v>71210</v>
      </c>
      <c r="F117" s="190" t="s">
        <v>703</v>
      </c>
      <c r="G117" s="2">
        <f t="shared" si="2"/>
        <v>35605</v>
      </c>
      <c r="H117" s="2"/>
      <c r="I117" s="2"/>
      <c r="J117" s="2"/>
      <c r="K117" s="2"/>
    </row>
    <row r="118" ht="28.5" customHeight="1" spans="1:11">
      <c r="A118" s="19">
        <v>111</v>
      </c>
      <c r="B118" s="37" t="s">
        <v>704</v>
      </c>
      <c r="C118" s="38" t="s">
        <v>705</v>
      </c>
      <c r="D118" s="19">
        <v>170000</v>
      </c>
      <c r="E118" s="38">
        <v>169725</v>
      </c>
      <c r="F118" s="190" t="s">
        <v>706</v>
      </c>
      <c r="G118" s="2">
        <f t="shared" si="2"/>
        <v>84863</v>
      </c>
      <c r="H118" s="2"/>
      <c r="I118" s="2"/>
      <c r="J118" s="2"/>
      <c r="K118" s="2"/>
    </row>
    <row r="119" ht="28.5" customHeight="1" spans="1:11">
      <c r="A119" s="19">
        <v>112</v>
      </c>
      <c r="B119" s="37" t="s">
        <v>707</v>
      </c>
      <c r="C119" s="38" t="s">
        <v>61</v>
      </c>
      <c r="D119" s="19">
        <v>24460</v>
      </c>
      <c r="E119" s="38">
        <v>24185</v>
      </c>
      <c r="F119" s="190" t="s">
        <v>708</v>
      </c>
      <c r="G119" s="2">
        <f t="shared" si="2"/>
        <v>12093</v>
      </c>
      <c r="H119" s="2"/>
      <c r="I119" s="2"/>
      <c r="J119" s="2"/>
      <c r="K119" s="2"/>
    </row>
    <row r="120" ht="28.5" customHeight="1" spans="1:11">
      <c r="A120" s="19">
        <v>113</v>
      </c>
      <c r="B120" s="21" t="s">
        <v>373</v>
      </c>
      <c r="C120" s="38" t="s">
        <v>61</v>
      </c>
      <c r="D120" s="19">
        <v>23460</v>
      </c>
      <c r="E120" s="38">
        <v>23185</v>
      </c>
      <c r="F120" s="190" t="s">
        <v>374</v>
      </c>
      <c r="G120" s="2">
        <f t="shared" si="2"/>
        <v>11593</v>
      </c>
      <c r="H120" s="2"/>
      <c r="I120" s="2"/>
      <c r="J120" s="2"/>
      <c r="K120" s="2"/>
    </row>
    <row r="121" ht="28.5" customHeight="1" spans="1:11">
      <c r="A121" s="19">
        <v>114</v>
      </c>
      <c r="B121" s="37" t="s">
        <v>709</v>
      </c>
      <c r="C121" s="38" t="s">
        <v>61</v>
      </c>
      <c r="D121" s="19">
        <v>39632</v>
      </c>
      <c r="E121" s="38">
        <v>40020</v>
      </c>
      <c r="F121" s="190" t="s">
        <v>710</v>
      </c>
      <c r="G121" s="2">
        <f t="shared" si="2"/>
        <v>20010</v>
      </c>
      <c r="H121" s="2"/>
      <c r="I121" s="2"/>
      <c r="J121" s="2"/>
      <c r="K121" s="2"/>
    </row>
    <row r="122" ht="28.5" customHeight="1" spans="1:11">
      <c r="A122" s="19">
        <v>115</v>
      </c>
      <c r="B122" s="37" t="s">
        <v>375</v>
      </c>
      <c r="C122" s="38" t="s">
        <v>61</v>
      </c>
      <c r="D122" s="19">
        <v>20460</v>
      </c>
      <c r="E122" s="38">
        <v>20185</v>
      </c>
      <c r="F122" s="190" t="s">
        <v>376</v>
      </c>
      <c r="G122" s="2">
        <f t="shared" si="2"/>
        <v>10093</v>
      </c>
      <c r="H122" s="2"/>
      <c r="I122" s="2"/>
      <c r="J122" s="2"/>
      <c r="K122" s="2"/>
    </row>
    <row r="123" ht="28.5" customHeight="1" spans="1:11">
      <c r="A123" s="19">
        <v>116</v>
      </c>
      <c r="B123" s="37" t="s">
        <v>377</v>
      </c>
      <c r="C123" s="38" t="s">
        <v>61</v>
      </c>
      <c r="D123" s="19">
        <v>18260</v>
      </c>
      <c r="E123" s="38">
        <v>18035</v>
      </c>
      <c r="F123" s="190" t="s">
        <v>378</v>
      </c>
      <c r="G123" s="2">
        <f t="shared" si="2"/>
        <v>9018</v>
      </c>
      <c r="H123" s="2"/>
      <c r="I123" s="2"/>
      <c r="J123" s="2"/>
      <c r="K123" s="2"/>
    </row>
    <row r="124" ht="28.5" customHeight="1" spans="1:11">
      <c r="A124" s="19">
        <v>117</v>
      </c>
      <c r="B124" s="37" t="s">
        <v>711</v>
      </c>
      <c r="C124" s="38" t="s">
        <v>61</v>
      </c>
      <c r="D124" s="19">
        <v>25000</v>
      </c>
      <c r="E124" s="19">
        <v>24725</v>
      </c>
      <c r="F124" s="190" t="s">
        <v>712</v>
      </c>
      <c r="G124" s="2">
        <f t="shared" si="2"/>
        <v>12363</v>
      </c>
      <c r="H124" s="2"/>
      <c r="I124" s="2"/>
      <c r="J124" s="2"/>
      <c r="K124" s="2"/>
    </row>
    <row r="125" ht="28.5" customHeight="1" spans="1:11">
      <c r="A125" s="19">
        <v>118</v>
      </c>
      <c r="B125" s="37" t="s">
        <v>713</v>
      </c>
      <c r="C125" s="38" t="s">
        <v>61</v>
      </c>
      <c r="D125" s="19">
        <v>25000</v>
      </c>
      <c r="E125" s="19">
        <v>24725</v>
      </c>
      <c r="F125" s="190" t="s">
        <v>714</v>
      </c>
      <c r="G125" s="2">
        <f t="shared" si="2"/>
        <v>12363</v>
      </c>
      <c r="H125" s="2"/>
      <c r="I125" s="2"/>
      <c r="J125" s="2"/>
      <c r="K125" s="2"/>
    </row>
    <row r="126" ht="28.5" customHeight="1" spans="1:11">
      <c r="A126" s="19">
        <v>119</v>
      </c>
      <c r="B126" s="37" t="s">
        <v>715</v>
      </c>
      <c r="C126" s="38" t="s">
        <v>646</v>
      </c>
      <c r="D126" s="19">
        <v>52000</v>
      </c>
      <c r="E126" s="19">
        <v>51725</v>
      </c>
      <c r="F126" s="190" t="s">
        <v>716</v>
      </c>
      <c r="G126" s="2">
        <f t="shared" si="2"/>
        <v>25863</v>
      </c>
      <c r="H126" s="2"/>
      <c r="I126" s="2"/>
      <c r="J126" s="2"/>
      <c r="K126" s="2"/>
    </row>
    <row r="127" ht="28.5" customHeight="1" spans="1:11">
      <c r="A127" s="19">
        <v>120</v>
      </c>
      <c r="B127" s="37" t="s">
        <v>717</v>
      </c>
      <c r="C127" s="38" t="s">
        <v>61</v>
      </c>
      <c r="D127" s="19">
        <v>22000</v>
      </c>
      <c r="E127" s="38">
        <v>21770</v>
      </c>
      <c r="F127" s="190" t="s">
        <v>718</v>
      </c>
      <c r="G127" s="2">
        <f t="shared" si="2"/>
        <v>10885</v>
      </c>
      <c r="H127" s="2"/>
      <c r="I127" s="2"/>
      <c r="J127" s="2"/>
      <c r="K127" s="2"/>
    </row>
    <row r="128" ht="28.5" customHeight="1" spans="1:11">
      <c r="A128" s="12">
        <v>121</v>
      </c>
      <c r="B128" s="13" t="s">
        <v>719</v>
      </c>
      <c r="C128" s="14" t="s">
        <v>720</v>
      </c>
      <c r="D128" s="12">
        <v>15000</v>
      </c>
      <c r="E128" s="12">
        <v>15000</v>
      </c>
      <c r="F128" s="193" t="s">
        <v>394</v>
      </c>
      <c r="G128" s="15">
        <f t="shared" si="2"/>
        <v>7500</v>
      </c>
      <c r="H128" s="15"/>
      <c r="I128" s="15"/>
      <c r="J128" s="15"/>
      <c r="K128" s="15"/>
    </row>
    <row r="129" ht="28.5" customHeight="1" spans="1:11">
      <c r="A129" s="19">
        <v>122</v>
      </c>
      <c r="B129" s="37" t="s">
        <v>412</v>
      </c>
      <c r="C129" s="38" t="s">
        <v>74</v>
      </c>
      <c r="D129" s="19">
        <v>51516</v>
      </c>
      <c r="E129" s="38">
        <v>51241</v>
      </c>
      <c r="F129" s="190" t="s">
        <v>413</v>
      </c>
      <c r="G129" s="2">
        <f t="shared" si="2"/>
        <v>25621</v>
      </c>
      <c r="H129" s="2"/>
      <c r="I129" s="2"/>
      <c r="J129" s="2"/>
      <c r="K129" s="2"/>
    </row>
    <row r="130" ht="28.5" customHeight="1" spans="1:11">
      <c r="A130" s="19">
        <v>123</v>
      </c>
      <c r="B130" s="37" t="s">
        <v>398</v>
      </c>
      <c r="C130" s="38" t="s">
        <v>721</v>
      </c>
      <c r="D130" s="19">
        <v>62759</v>
      </c>
      <c r="E130" s="38">
        <v>58884</v>
      </c>
      <c r="F130" s="190" t="s">
        <v>400</v>
      </c>
      <c r="G130" s="2">
        <f t="shared" si="2"/>
        <v>29442</v>
      </c>
      <c r="H130" s="2"/>
      <c r="I130" s="2"/>
      <c r="J130" s="2"/>
      <c r="K130" s="2"/>
    </row>
    <row r="131" ht="28.5" customHeight="1" spans="1:11">
      <c r="A131" s="19">
        <v>124</v>
      </c>
      <c r="B131" s="37" t="s">
        <v>424</v>
      </c>
      <c r="C131" s="38" t="s">
        <v>74</v>
      </c>
      <c r="D131" s="38">
        <v>30000</v>
      </c>
      <c r="E131" s="38">
        <v>26125</v>
      </c>
      <c r="F131" s="190" t="s">
        <v>425</v>
      </c>
      <c r="G131" s="2">
        <f t="shared" si="2"/>
        <v>13063</v>
      </c>
      <c r="H131" s="2"/>
      <c r="I131" s="2"/>
      <c r="J131" s="2"/>
      <c r="K131" s="2"/>
    </row>
    <row r="132" ht="28.5" customHeight="1" spans="1:11">
      <c r="A132" s="19">
        <v>125</v>
      </c>
      <c r="B132" s="37" t="s">
        <v>722</v>
      </c>
      <c r="C132" s="38" t="s">
        <v>61</v>
      </c>
      <c r="D132" s="19">
        <v>35000</v>
      </c>
      <c r="E132" s="38">
        <v>34725</v>
      </c>
      <c r="F132" s="190" t="s">
        <v>723</v>
      </c>
      <c r="G132" s="2">
        <f t="shared" si="2"/>
        <v>17363</v>
      </c>
      <c r="H132" s="2"/>
      <c r="I132" s="2"/>
      <c r="J132" s="2"/>
      <c r="K132" s="2"/>
    </row>
    <row r="133" ht="28.5" customHeight="1" spans="1:11">
      <c r="A133" s="19">
        <v>126</v>
      </c>
      <c r="B133" s="37" t="s">
        <v>724</v>
      </c>
      <c r="C133" s="38" t="s">
        <v>102</v>
      </c>
      <c r="D133" s="19">
        <v>50000</v>
      </c>
      <c r="E133" s="38">
        <v>49725</v>
      </c>
      <c r="F133" s="190" t="s">
        <v>725</v>
      </c>
      <c r="G133" s="2">
        <f t="shared" si="2"/>
        <v>24863</v>
      </c>
      <c r="H133" s="2"/>
      <c r="I133" s="2"/>
      <c r="J133" s="2"/>
      <c r="K133" s="2"/>
    </row>
    <row r="134" ht="28.5" customHeight="1" spans="1:11">
      <c r="A134" s="19">
        <v>127</v>
      </c>
      <c r="B134" s="37" t="s">
        <v>726</v>
      </c>
      <c r="C134" s="38" t="s">
        <v>61</v>
      </c>
      <c r="D134" s="38">
        <v>30000</v>
      </c>
      <c r="E134" s="38">
        <v>29725</v>
      </c>
      <c r="F134" s="190" t="s">
        <v>727</v>
      </c>
      <c r="G134" s="2">
        <f t="shared" si="2"/>
        <v>14863</v>
      </c>
      <c r="H134" s="2"/>
      <c r="I134" s="2"/>
      <c r="J134" s="2"/>
      <c r="K134" s="2"/>
    </row>
    <row r="135" ht="28.5" customHeight="1" spans="1:11">
      <c r="A135" s="19">
        <v>128</v>
      </c>
      <c r="B135" s="37" t="s">
        <v>728</v>
      </c>
      <c r="C135" s="38" t="s">
        <v>61</v>
      </c>
      <c r="D135" s="19">
        <v>24460</v>
      </c>
      <c r="E135" s="38">
        <v>24185</v>
      </c>
      <c r="F135" s="190" t="s">
        <v>729</v>
      </c>
      <c r="G135" s="2">
        <f t="shared" si="2"/>
        <v>12093</v>
      </c>
      <c r="H135" s="2"/>
      <c r="I135" s="2"/>
      <c r="J135" s="2"/>
      <c r="K135" s="2"/>
    </row>
    <row r="136" ht="28.5" customHeight="1" spans="1:11">
      <c r="A136" s="19">
        <v>129</v>
      </c>
      <c r="B136" s="37" t="s">
        <v>434</v>
      </c>
      <c r="C136" s="38" t="s">
        <v>61</v>
      </c>
      <c r="D136" s="38">
        <v>23000</v>
      </c>
      <c r="E136" s="38">
        <v>22725</v>
      </c>
      <c r="F136" s="190" t="s">
        <v>435</v>
      </c>
      <c r="G136" s="2">
        <f t="shared" si="2"/>
        <v>11363</v>
      </c>
      <c r="H136" s="2"/>
      <c r="I136" s="2"/>
      <c r="J136" s="2"/>
      <c r="K136" s="2"/>
    </row>
    <row r="137" ht="28.5" customHeight="1" spans="1:11">
      <c r="A137" s="19">
        <v>130</v>
      </c>
      <c r="B137" s="37" t="s">
        <v>730</v>
      </c>
      <c r="C137" s="38" t="s">
        <v>61</v>
      </c>
      <c r="D137" s="19">
        <v>32460</v>
      </c>
      <c r="E137" s="38">
        <v>32185</v>
      </c>
      <c r="F137" s="190" t="s">
        <v>423</v>
      </c>
      <c r="G137" s="2">
        <f t="shared" si="2"/>
        <v>16093</v>
      </c>
      <c r="H137" s="2"/>
      <c r="I137" s="2"/>
      <c r="J137" s="2"/>
      <c r="K137" s="2"/>
    </row>
    <row r="138" ht="28.5" customHeight="1" spans="1:11">
      <c r="A138" s="19">
        <v>131</v>
      </c>
      <c r="B138" s="37" t="s">
        <v>432</v>
      </c>
      <c r="C138" s="38" t="s">
        <v>61</v>
      </c>
      <c r="D138" s="38">
        <v>22000</v>
      </c>
      <c r="E138" s="38">
        <v>21725</v>
      </c>
      <c r="F138" s="190" t="s">
        <v>731</v>
      </c>
      <c r="G138" s="2">
        <f t="shared" si="2"/>
        <v>10863</v>
      </c>
      <c r="H138" s="2"/>
      <c r="I138" s="2"/>
      <c r="J138" s="2"/>
      <c r="K138" s="2"/>
    </row>
    <row r="139" ht="28.5" customHeight="1" spans="1:11">
      <c r="A139" s="19">
        <v>132</v>
      </c>
      <c r="B139" s="37" t="s">
        <v>732</v>
      </c>
      <c r="C139" s="38" t="s">
        <v>61</v>
      </c>
      <c r="D139" s="19">
        <v>35000</v>
      </c>
      <c r="E139" s="38">
        <v>34725</v>
      </c>
      <c r="F139" s="190" t="s">
        <v>411</v>
      </c>
      <c r="G139" s="2">
        <f t="shared" si="2"/>
        <v>17363</v>
      </c>
      <c r="H139" s="2"/>
      <c r="I139" s="2"/>
      <c r="J139" s="2"/>
      <c r="K139" s="2"/>
    </row>
    <row r="140" ht="28.5" customHeight="1" spans="1:11">
      <c r="A140" s="19">
        <v>133</v>
      </c>
      <c r="B140" s="37" t="s">
        <v>733</v>
      </c>
      <c r="C140" s="38" t="s">
        <v>61</v>
      </c>
      <c r="D140" s="38">
        <v>30000</v>
      </c>
      <c r="E140" s="38">
        <v>29725</v>
      </c>
      <c r="F140" s="190" t="s">
        <v>403</v>
      </c>
      <c r="G140" s="2">
        <f t="shared" si="2"/>
        <v>14863</v>
      </c>
      <c r="H140" s="2"/>
      <c r="I140" s="2"/>
      <c r="J140" s="2"/>
      <c r="K140" s="2"/>
    </row>
    <row r="141" ht="28.5" customHeight="1" spans="1:11">
      <c r="A141" s="19">
        <v>134</v>
      </c>
      <c r="B141" s="37" t="s">
        <v>734</v>
      </c>
      <c r="C141" s="38" t="s">
        <v>61</v>
      </c>
      <c r="D141" s="38">
        <v>17500</v>
      </c>
      <c r="E141" s="38">
        <v>17275</v>
      </c>
      <c r="F141" s="190" t="s">
        <v>735</v>
      </c>
      <c r="G141" s="2">
        <f t="shared" si="2"/>
        <v>8638</v>
      </c>
      <c r="H141" s="2"/>
      <c r="I141" s="2"/>
      <c r="J141" s="2"/>
      <c r="K141" s="2"/>
    </row>
    <row r="142" ht="28.5" customHeight="1" spans="1:11">
      <c r="A142" s="19">
        <v>135</v>
      </c>
      <c r="B142" s="37" t="s">
        <v>736</v>
      </c>
      <c r="C142" s="38" t="s">
        <v>61</v>
      </c>
      <c r="D142" s="38">
        <v>18000</v>
      </c>
      <c r="E142" s="38">
        <v>17775</v>
      </c>
      <c r="F142" s="190" t="s">
        <v>737</v>
      </c>
      <c r="G142" s="2">
        <f t="shared" si="2"/>
        <v>8888</v>
      </c>
      <c r="H142" s="2"/>
      <c r="I142" s="2"/>
      <c r="J142" s="2"/>
      <c r="K142" s="2"/>
    </row>
    <row r="143" ht="28.5" customHeight="1" spans="1:11">
      <c r="A143" s="19">
        <v>136</v>
      </c>
      <c r="B143" s="37" t="s">
        <v>738</v>
      </c>
      <c r="C143" s="38" t="s">
        <v>61</v>
      </c>
      <c r="D143" s="38">
        <v>20000</v>
      </c>
      <c r="E143" s="38">
        <v>19775</v>
      </c>
      <c r="F143" s="190" t="s">
        <v>739</v>
      </c>
      <c r="G143" s="2">
        <f t="shared" si="2"/>
        <v>9888</v>
      </c>
      <c r="H143" s="2"/>
      <c r="I143" s="2"/>
      <c r="J143" s="2"/>
      <c r="K143" s="2"/>
    </row>
    <row r="144" ht="28.5" customHeight="1" spans="1:11">
      <c r="A144" s="19">
        <v>137</v>
      </c>
      <c r="B144" s="37" t="s">
        <v>740</v>
      </c>
      <c r="C144" s="38" t="s">
        <v>61</v>
      </c>
      <c r="D144" s="38">
        <v>18000</v>
      </c>
      <c r="E144" s="38">
        <v>17775</v>
      </c>
      <c r="F144" s="190" t="s">
        <v>741</v>
      </c>
      <c r="G144" s="2">
        <f t="shared" si="2"/>
        <v>8888</v>
      </c>
      <c r="H144" s="2"/>
      <c r="I144" s="2"/>
      <c r="J144" s="2"/>
      <c r="K144" s="2"/>
    </row>
    <row r="145" ht="28.5" customHeight="1" spans="1:11">
      <c r="A145" s="19">
        <v>138</v>
      </c>
      <c r="B145" s="37" t="s">
        <v>742</v>
      </c>
      <c r="C145" s="38" t="s">
        <v>61</v>
      </c>
      <c r="D145" s="38">
        <v>29000</v>
      </c>
      <c r="E145" s="38">
        <v>28725</v>
      </c>
      <c r="F145" s="190" t="s">
        <v>743</v>
      </c>
      <c r="G145" s="2">
        <f t="shared" si="2"/>
        <v>14363</v>
      </c>
      <c r="H145" s="2"/>
      <c r="I145" s="2"/>
      <c r="J145" s="2"/>
      <c r="K145" s="2"/>
    </row>
    <row r="146" ht="28.5" customHeight="1" spans="1:11">
      <c r="A146" s="19">
        <v>139</v>
      </c>
      <c r="B146" s="37" t="s">
        <v>744</v>
      </c>
      <c r="C146" s="38" t="s">
        <v>61</v>
      </c>
      <c r="D146" s="38">
        <v>18000</v>
      </c>
      <c r="E146" s="38">
        <v>17775</v>
      </c>
      <c r="F146" s="190" t="s">
        <v>745</v>
      </c>
      <c r="G146" s="2">
        <f t="shared" si="2"/>
        <v>8888</v>
      </c>
      <c r="H146" s="2"/>
      <c r="I146" s="2"/>
      <c r="J146" s="2"/>
      <c r="K146" s="2"/>
    </row>
    <row r="147" ht="28.5" customHeight="1" spans="1:11">
      <c r="A147" s="19">
        <v>140</v>
      </c>
      <c r="B147" s="37" t="s">
        <v>746</v>
      </c>
      <c r="C147" s="38" t="s">
        <v>61</v>
      </c>
      <c r="D147" s="38">
        <v>18000</v>
      </c>
      <c r="E147" s="38">
        <v>17775</v>
      </c>
      <c r="F147" s="190" t="s">
        <v>747</v>
      </c>
      <c r="G147" s="2">
        <f t="shared" si="2"/>
        <v>8888</v>
      </c>
      <c r="H147" s="2"/>
      <c r="I147" s="2"/>
      <c r="J147" s="2"/>
      <c r="K147" s="2"/>
    </row>
    <row r="148" ht="28.5" customHeight="1" spans="1:11">
      <c r="A148" s="19">
        <v>141</v>
      </c>
      <c r="B148" s="37" t="s">
        <v>748</v>
      </c>
      <c r="C148" s="38" t="s">
        <v>61</v>
      </c>
      <c r="D148" s="38">
        <v>26000</v>
      </c>
      <c r="E148" s="38">
        <v>25725</v>
      </c>
      <c r="F148" s="190" t="s">
        <v>749</v>
      </c>
      <c r="G148" s="2">
        <f t="shared" si="2"/>
        <v>12863</v>
      </c>
      <c r="H148" s="2"/>
      <c r="I148" s="2"/>
      <c r="J148" s="2"/>
      <c r="K148" s="2"/>
    </row>
    <row r="149" ht="28.5" customHeight="1" spans="1:11">
      <c r="A149" s="23">
        <v>142</v>
      </c>
      <c r="B149" s="34" t="s">
        <v>750</v>
      </c>
      <c r="C149" s="25" t="s">
        <v>61</v>
      </c>
      <c r="D149" s="25">
        <v>18000</v>
      </c>
      <c r="E149" s="25">
        <v>17775</v>
      </c>
      <c r="F149" s="192" t="s">
        <v>751</v>
      </c>
      <c r="G149" s="27">
        <f t="shared" si="2"/>
        <v>8888</v>
      </c>
      <c r="H149" s="27"/>
      <c r="I149" s="27"/>
      <c r="J149" s="27"/>
      <c r="K149" s="27"/>
    </row>
    <row r="150" ht="28.5" customHeight="1" spans="1:11">
      <c r="A150" s="19">
        <v>143</v>
      </c>
      <c r="B150" s="37" t="s">
        <v>752</v>
      </c>
      <c r="C150" s="38" t="s">
        <v>61</v>
      </c>
      <c r="D150" s="38">
        <v>21000</v>
      </c>
      <c r="E150" s="38">
        <v>20725</v>
      </c>
      <c r="F150" s="190" t="s">
        <v>753</v>
      </c>
      <c r="G150" s="2">
        <f t="shared" si="2"/>
        <v>10363</v>
      </c>
      <c r="H150" s="2"/>
      <c r="I150" s="2"/>
      <c r="J150" s="2"/>
      <c r="K150" s="2"/>
    </row>
    <row r="151" ht="28.5" customHeight="1" spans="1:11">
      <c r="A151" s="23">
        <v>144</v>
      </c>
      <c r="B151" s="34" t="s">
        <v>754</v>
      </c>
      <c r="C151" s="25" t="s">
        <v>61</v>
      </c>
      <c r="D151" s="25">
        <v>20000</v>
      </c>
      <c r="E151" s="25">
        <v>19775</v>
      </c>
      <c r="F151" s="192" t="s">
        <v>755</v>
      </c>
      <c r="G151" s="27">
        <f t="shared" si="2"/>
        <v>9888</v>
      </c>
      <c r="H151" s="27"/>
      <c r="I151" s="27"/>
      <c r="J151" s="27"/>
      <c r="K151" s="27"/>
    </row>
    <row r="152" ht="28.5" customHeight="1" spans="1:11">
      <c r="A152" s="23">
        <v>145</v>
      </c>
      <c r="B152" s="34" t="s">
        <v>756</v>
      </c>
      <c r="C152" s="25" t="s">
        <v>61</v>
      </c>
      <c r="D152" s="25">
        <v>25000</v>
      </c>
      <c r="E152" s="25">
        <v>24725</v>
      </c>
      <c r="F152" s="192" t="s">
        <v>757</v>
      </c>
      <c r="G152" s="27">
        <f t="shared" si="2"/>
        <v>12363</v>
      </c>
      <c r="H152" s="27"/>
      <c r="I152" s="27"/>
      <c r="J152" s="27"/>
      <c r="K152" s="27"/>
    </row>
    <row r="153" ht="28.5" customHeight="1" spans="1:11">
      <c r="A153" s="19">
        <v>146</v>
      </c>
      <c r="B153" s="37" t="s">
        <v>758</v>
      </c>
      <c r="C153" s="38" t="s">
        <v>646</v>
      </c>
      <c r="D153" s="19">
        <v>52000</v>
      </c>
      <c r="E153" s="38">
        <v>51725</v>
      </c>
      <c r="F153" s="190" t="s">
        <v>759</v>
      </c>
      <c r="G153" s="2">
        <f t="shared" si="2"/>
        <v>25863</v>
      </c>
      <c r="H153" s="2"/>
      <c r="I153" s="2"/>
      <c r="J153" s="2"/>
      <c r="K153" s="2"/>
    </row>
    <row r="154" ht="28.5" customHeight="1" spans="1:11">
      <c r="A154" s="19">
        <v>147</v>
      </c>
      <c r="B154" s="37" t="s">
        <v>760</v>
      </c>
      <c r="C154" s="38" t="s">
        <v>646</v>
      </c>
      <c r="D154" s="19">
        <v>52000</v>
      </c>
      <c r="E154" s="38">
        <v>51725</v>
      </c>
      <c r="F154" s="190" t="s">
        <v>761</v>
      </c>
      <c r="G154" s="2">
        <f t="shared" si="2"/>
        <v>25863</v>
      </c>
      <c r="H154" s="2"/>
      <c r="I154" s="2"/>
      <c r="J154" s="2"/>
      <c r="K154" s="2"/>
    </row>
    <row r="155" ht="28.5" customHeight="1" spans="1:11">
      <c r="A155" s="19">
        <v>148</v>
      </c>
      <c r="B155" s="37" t="s">
        <v>762</v>
      </c>
      <c r="C155" s="38" t="s">
        <v>82</v>
      </c>
      <c r="D155" s="19">
        <v>18000</v>
      </c>
      <c r="E155" s="38">
        <v>17775</v>
      </c>
      <c r="F155" s="190" t="s">
        <v>763</v>
      </c>
      <c r="G155" s="2">
        <f t="shared" si="2"/>
        <v>8888</v>
      </c>
      <c r="H155" s="2"/>
      <c r="I155" s="2"/>
      <c r="J155" s="2"/>
      <c r="K155" s="2"/>
    </row>
    <row r="156" ht="28.5" customHeight="1" spans="1:11">
      <c r="A156" s="19">
        <v>149</v>
      </c>
      <c r="B156" s="37" t="s">
        <v>436</v>
      </c>
      <c r="C156" s="38" t="s">
        <v>82</v>
      </c>
      <c r="D156" s="19">
        <v>18000</v>
      </c>
      <c r="E156" s="38">
        <v>17775</v>
      </c>
      <c r="F156" s="190" t="s">
        <v>437</v>
      </c>
      <c r="G156" s="2">
        <f t="shared" si="2"/>
        <v>8888</v>
      </c>
      <c r="H156" s="2"/>
      <c r="I156" s="2"/>
      <c r="J156" s="2"/>
      <c r="K156" s="2"/>
    </row>
    <row r="157" ht="28.5" customHeight="1" spans="1:11">
      <c r="A157" s="19">
        <v>150</v>
      </c>
      <c r="B157" s="37" t="s">
        <v>764</v>
      </c>
      <c r="C157" s="38" t="s">
        <v>102</v>
      </c>
      <c r="D157" s="19">
        <v>30000</v>
      </c>
      <c r="E157" s="38">
        <v>29725</v>
      </c>
      <c r="F157" s="190" t="s">
        <v>765</v>
      </c>
      <c r="G157" s="2">
        <f t="shared" si="2"/>
        <v>14863</v>
      </c>
      <c r="H157" s="2"/>
      <c r="I157" s="2"/>
      <c r="J157" s="2"/>
      <c r="K157" s="2"/>
    </row>
    <row r="158" ht="28.5" customHeight="1" spans="1:11">
      <c r="A158" s="19">
        <v>151</v>
      </c>
      <c r="B158" s="37" t="s">
        <v>419</v>
      </c>
      <c r="C158" s="38" t="s">
        <v>61</v>
      </c>
      <c r="D158" s="19">
        <v>25000</v>
      </c>
      <c r="E158" s="38">
        <v>24725</v>
      </c>
      <c r="F158" s="190" t="s">
        <v>420</v>
      </c>
      <c r="G158" s="2">
        <f t="shared" si="2"/>
        <v>12363</v>
      </c>
      <c r="H158" s="2"/>
      <c r="I158" s="2"/>
      <c r="J158" s="2"/>
      <c r="K158" s="2"/>
    </row>
    <row r="159" ht="28.5" customHeight="1" spans="1:11">
      <c r="A159" s="19">
        <v>152</v>
      </c>
      <c r="B159" s="37" t="s">
        <v>497</v>
      </c>
      <c r="C159" s="38" t="s">
        <v>498</v>
      </c>
      <c r="D159" s="19">
        <v>30780</v>
      </c>
      <c r="E159" s="38">
        <v>30780</v>
      </c>
      <c r="F159" s="187" t="s">
        <v>499</v>
      </c>
      <c r="G159" s="2">
        <f t="shared" si="2"/>
        <v>15390</v>
      </c>
      <c r="H159" s="2"/>
      <c r="I159" s="2"/>
      <c r="J159" s="2"/>
      <c r="K159" s="2"/>
    </row>
    <row r="160" ht="28.5" customHeight="1" spans="1:11">
      <c r="A160" s="16"/>
      <c r="B160" s="17" t="s">
        <v>9</v>
      </c>
      <c r="C160" s="18"/>
      <c r="D160" s="18">
        <f t="shared" ref="D160:E160" si="3">SUM(D5:D159)</f>
        <v>6258282</v>
      </c>
      <c r="E160" s="18">
        <f t="shared" si="3"/>
        <v>6013959</v>
      </c>
      <c r="F160" s="18"/>
      <c r="G160" s="6">
        <f>SUM(G6:G159)</f>
        <v>3007041</v>
      </c>
      <c r="H160" s="6"/>
      <c r="I160" s="6"/>
      <c r="J160" s="6"/>
      <c r="K160" s="6"/>
    </row>
    <row r="161" ht="28.5" customHeight="1" spans="1:11">
      <c r="A161" s="19"/>
      <c r="B161" s="20"/>
      <c r="C161" s="20"/>
      <c r="D161" s="21"/>
      <c r="E161" s="19"/>
      <c r="F161" s="22"/>
      <c r="G161" s="2"/>
      <c r="H161" s="2"/>
      <c r="I161" s="2"/>
      <c r="J161" s="2"/>
      <c r="K161" s="2"/>
    </row>
    <row r="162" ht="28.5" customHeight="1" spans="1:11">
      <c r="A162" s="19"/>
      <c r="B162" s="36"/>
      <c r="C162" s="36"/>
      <c r="D162" s="16"/>
      <c r="E162" s="36"/>
      <c r="F162" s="36"/>
      <c r="G162" s="2"/>
      <c r="H162" s="2"/>
      <c r="I162" s="2"/>
      <c r="J162" s="2"/>
      <c r="K162" s="2"/>
    </row>
    <row r="163" ht="28.5" customHeight="1" spans="1:11">
      <c r="A163" s="19"/>
      <c r="B163" s="17"/>
      <c r="C163" s="18"/>
      <c r="D163" s="16"/>
      <c r="E163" s="19"/>
      <c r="F163" s="22"/>
      <c r="G163" s="2"/>
      <c r="H163" s="2"/>
      <c r="I163" s="2"/>
      <c r="J163" s="2"/>
      <c r="K163" s="2"/>
    </row>
    <row r="164" ht="28.5" customHeight="1" spans="1:11">
      <c r="A164" s="19"/>
      <c r="B164" s="17"/>
      <c r="C164" s="18"/>
      <c r="D164" s="16"/>
      <c r="E164" s="19"/>
      <c r="F164" s="22"/>
      <c r="G164" s="2"/>
      <c r="H164" s="2"/>
      <c r="I164" s="2"/>
      <c r="J164" s="2"/>
      <c r="K164" s="2"/>
    </row>
    <row r="165" ht="28.5" hidden="1" customHeight="1" spans="1:11">
      <c r="A165" s="28" t="s">
        <v>507</v>
      </c>
      <c r="G165" s="2"/>
      <c r="H165" s="2"/>
      <c r="I165" s="2"/>
      <c r="J165" s="2"/>
      <c r="K165" s="2"/>
    </row>
    <row r="166" ht="28.5" hidden="1" customHeight="1" spans="1:11">
      <c r="A166" s="28" t="s">
        <v>766</v>
      </c>
      <c r="G166" s="2"/>
      <c r="H166" s="2"/>
      <c r="I166" s="2"/>
      <c r="J166" s="2"/>
      <c r="K166" s="2"/>
    </row>
    <row r="167" ht="41.25" hidden="1" customHeight="1" spans="1:11">
      <c r="A167" s="18" t="s">
        <v>509</v>
      </c>
      <c r="B167" s="17" t="s">
        <v>3</v>
      </c>
      <c r="C167" s="18" t="s">
        <v>4</v>
      </c>
      <c r="D167" s="18" t="s">
        <v>5</v>
      </c>
      <c r="E167" s="18" t="s">
        <v>26</v>
      </c>
      <c r="F167" s="5" t="s">
        <v>27</v>
      </c>
      <c r="G167" s="2"/>
      <c r="H167" s="2"/>
      <c r="I167" s="2"/>
      <c r="J167" s="2"/>
      <c r="K167" s="2"/>
    </row>
    <row r="168" ht="28.5" customHeight="1" spans="1:11">
      <c r="A168" s="28"/>
      <c r="B168" s="29"/>
      <c r="C168" s="30"/>
      <c r="D168" s="28"/>
      <c r="E168" s="28"/>
      <c r="F168" s="31"/>
      <c r="G168" s="2"/>
      <c r="H168" s="2"/>
      <c r="I168" s="2"/>
      <c r="J168" s="2"/>
      <c r="K168" s="2"/>
    </row>
  </sheetData>
  <autoFilter xmlns:etc="http://www.wps.cn/officeDocument/2017/etCustomData" ref="A1:F160" etc:filterBottomFollowUsedRange="0">
    <extLst/>
  </autoFilter>
  <mergeCells count="4">
    <mergeCell ref="A1:F1"/>
    <mergeCell ref="A2:F2"/>
    <mergeCell ref="A165:F165"/>
    <mergeCell ref="A166:F166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44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507</v>
      </c>
      <c r="G1" s="2"/>
      <c r="H1" s="2"/>
      <c r="I1" s="2"/>
      <c r="J1" s="2"/>
      <c r="K1" s="2"/>
    </row>
    <row r="2" ht="22.5" customHeight="1" spans="1:11">
      <c r="A2" s="1" t="s">
        <v>508</v>
      </c>
      <c r="G2" s="2"/>
      <c r="H2" s="2"/>
      <c r="I2" s="2"/>
      <c r="J2" s="2"/>
      <c r="K2" s="2"/>
    </row>
    <row r="3" ht="28.5" customHeight="1" spans="1:11">
      <c r="A3" s="3" t="s">
        <v>509</v>
      </c>
      <c r="B3" s="4" t="s">
        <v>3</v>
      </c>
      <c r="C3" s="3" t="s">
        <v>4</v>
      </c>
      <c r="D3" s="3" t="s">
        <v>5</v>
      </c>
      <c r="E3" s="3" t="s">
        <v>26</v>
      </c>
      <c r="F3" s="5" t="s">
        <v>27</v>
      </c>
      <c r="G3" s="2"/>
      <c r="H3" s="2"/>
      <c r="I3" s="2"/>
      <c r="J3" s="2"/>
      <c r="K3" s="2"/>
    </row>
    <row r="4" ht="21.75" customHeight="1" spans="1:11">
      <c r="A4" s="6"/>
      <c r="B4" s="4" t="s">
        <v>29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19">
        <v>1</v>
      </c>
      <c r="B5" s="37" t="s">
        <v>38</v>
      </c>
      <c r="C5" s="38" t="s">
        <v>39</v>
      </c>
      <c r="D5" s="19">
        <v>160000</v>
      </c>
      <c r="E5" s="38"/>
      <c r="F5" s="187" t="s">
        <v>510</v>
      </c>
      <c r="G5" s="2">
        <f t="shared" ref="G5:G135" si="0">ROUND(E5/2,0)</f>
        <v>0</v>
      </c>
      <c r="H5" s="2"/>
      <c r="I5" s="2"/>
      <c r="J5" s="2"/>
      <c r="K5" s="2"/>
    </row>
    <row r="6" ht="28.5" customHeight="1" spans="1:11">
      <c r="A6" s="19">
        <v>2</v>
      </c>
      <c r="B6" s="37" t="s">
        <v>511</v>
      </c>
      <c r="C6" s="38" t="s">
        <v>74</v>
      </c>
      <c r="D6" s="19">
        <v>100106</v>
      </c>
      <c r="E6" s="38">
        <v>99831</v>
      </c>
      <c r="F6" s="187" t="s">
        <v>44</v>
      </c>
      <c r="G6" s="2">
        <f t="shared" si="0"/>
        <v>49916</v>
      </c>
      <c r="H6" s="2"/>
      <c r="I6" s="2"/>
      <c r="J6" s="2"/>
      <c r="K6" s="2"/>
    </row>
    <row r="7" ht="28.5" customHeight="1" spans="1:11">
      <c r="A7" s="19">
        <v>3</v>
      </c>
      <c r="B7" s="37" t="s">
        <v>512</v>
      </c>
      <c r="C7" s="38" t="s">
        <v>74</v>
      </c>
      <c r="D7" s="19">
        <v>45000</v>
      </c>
      <c r="E7" s="38">
        <v>44725</v>
      </c>
      <c r="F7" s="187" t="s">
        <v>513</v>
      </c>
      <c r="G7" s="2">
        <f t="shared" si="0"/>
        <v>22363</v>
      </c>
      <c r="H7" s="2"/>
      <c r="I7" s="2"/>
      <c r="J7" s="2"/>
      <c r="K7" s="2"/>
    </row>
    <row r="8" ht="28.5" customHeight="1" spans="1:11">
      <c r="A8" s="19">
        <v>4</v>
      </c>
      <c r="B8" s="37" t="s">
        <v>514</v>
      </c>
      <c r="C8" s="38" t="s">
        <v>61</v>
      </c>
      <c r="D8" s="19">
        <v>47667</v>
      </c>
      <c r="E8" s="38">
        <v>47392</v>
      </c>
      <c r="F8" s="187" t="s">
        <v>56</v>
      </c>
      <c r="G8" s="2">
        <f t="shared" si="0"/>
        <v>23696</v>
      </c>
      <c r="H8" s="2"/>
      <c r="I8" s="2"/>
      <c r="J8" s="2"/>
      <c r="K8" s="2"/>
    </row>
    <row r="9" ht="28.5" customHeight="1" spans="1:11">
      <c r="A9" s="19">
        <v>5</v>
      </c>
      <c r="B9" s="37" t="s">
        <v>515</v>
      </c>
      <c r="C9" s="38" t="s">
        <v>61</v>
      </c>
      <c r="D9" s="19">
        <v>43206</v>
      </c>
      <c r="E9" s="38">
        <v>42931</v>
      </c>
      <c r="F9" s="187" t="s">
        <v>516</v>
      </c>
      <c r="G9" s="2">
        <f t="shared" si="0"/>
        <v>21466</v>
      </c>
      <c r="H9" s="2"/>
      <c r="I9" s="2"/>
      <c r="J9" s="2"/>
      <c r="K9" s="2"/>
    </row>
    <row r="10" ht="28.5" customHeight="1" spans="1:11">
      <c r="A10" s="19">
        <v>6</v>
      </c>
      <c r="B10" s="37" t="s">
        <v>517</v>
      </c>
      <c r="C10" s="38" t="s">
        <v>61</v>
      </c>
      <c r="D10" s="19">
        <v>32460</v>
      </c>
      <c r="E10" s="38">
        <v>32185</v>
      </c>
      <c r="F10" s="187" t="s">
        <v>518</v>
      </c>
      <c r="G10" s="2">
        <f t="shared" si="0"/>
        <v>16093</v>
      </c>
      <c r="H10" s="2"/>
      <c r="I10" s="2"/>
      <c r="J10" s="2"/>
      <c r="K10" s="2"/>
    </row>
    <row r="11" ht="28.5" customHeight="1" spans="1:11">
      <c r="A11" s="19">
        <v>7</v>
      </c>
      <c r="B11" s="37" t="s">
        <v>519</v>
      </c>
      <c r="C11" s="38" t="s">
        <v>61</v>
      </c>
      <c r="D11" s="38">
        <v>18000</v>
      </c>
      <c r="E11" s="38">
        <v>17775</v>
      </c>
      <c r="F11" s="187" t="s">
        <v>520</v>
      </c>
      <c r="G11" s="2">
        <f t="shared" si="0"/>
        <v>8888</v>
      </c>
      <c r="H11" s="2"/>
      <c r="I11" s="2"/>
      <c r="J11" s="2"/>
      <c r="K11" s="2"/>
    </row>
    <row r="12" ht="28.5" customHeight="1" spans="1:11">
      <c r="A12" s="19">
        <v>8</v>
      </c>
      <c r="B12" s="37" t="s">
        <v>521</v>
      </c>
      <c r="C12" s="38" t="s">
        <v>61</v>
      </c>
      <c r="D12" s="38">
        <v>18000</v>
      </c>
      <c r="E12" s="38">
        <v>17775</v>
      </c>
      <c r="F12" s="187" t="s">
        <v>522</v>
      </c>
      <c r="G12" s="2">
        <f t="shared" si="0"/>
        <v>8888</v>
      </c>
      <c r="H12" s="2"/>
      <c r="I12" s="2"/>
      <c r="J12" s="2"/>
      <c r="K12" s="2"/>
    </row>
    <row r="13" ht="28.5" customHeight="1" spans="1:11">
      <c r="A13" s="19">
        <v>11</v>
      </c>
      <c r="B13" s="32" t="s">
        <v>527</v>
      </c>
      <c r="C13" s="38" t="s">
        <v>61</v>
      </c>
      <c r="D13" s="38">
        <v>22000</v>
      </c>
      <c r="E13" s="38">
        <v>21725</v>
      </c>
      <c r="F13" s="187" t="s">
        <v>528</v>
      </c>
      <c r="G13" s="2">
        <f t="shared" si="0"/>
        <v>10863</v>
      </c>
      <c r="H13" s="2"/>
      <c r="I13" s="2"/>
      <c r="J13" s="2"/>
      <c r="K13" s="2"/>
    </row>
    <row r="14" ht="28.5" customHeight="1" spans="1:11">
      <c r="A14" s="19">
        <v>12</v>
      </c>
      <c r="B14" s="32" t="s">
        <v>529</v>
      </c>
      <c r="C14" s="38" t="s">
        <v>74</v>
      </c>
      <c r="D14" s="38">
        <v>65000</v>
      </c>
      <c r="E14" s="38">
        <v>61725</v>
      </c>
      <c r="F14" s="189" t="s">
        <v>530</v>
      </c>
      <c r="G14" s="2">
        <f t="shared" si="0"/>
        <v>30863</v>
      </c>
      <c r="H14" s="2"/>
      <c r="I14" s="2"/>
      <c r="J14" s="2"/>
      <c r="K14" s="2"/>
    </row>
    <row r="15" ht="28.5" customHeight="1" spans="1:11">
      <c r="A15" s="19">
        <v>13</v>
      </c>
      <c r="B15" s="37" t="s">
        <v>531</v>
      </c>
      <c r="C15" s="38" t="s">
        <v>532</v>
      </c>
      <c r="D15" s="19">
        <v>89961</v>
      </c>
      <c r="E15" s="38">
        <v>86086</v>
      </c>
      <c r="F15" s="190" t="s">
        <v>72</v>
      </c>
      <c r="G15" s="2">
        <f t="shared" si="0"/>
        <v>43043</v>
      </c>
      <c r="H15" s="2"/>
      <c r="I15" s="2"/>
      <c r="J15" s="2"/>
      <c r="K15" s="2"/>
    </row>
    <row r="16" ht="28.5" customHeight="1" spans="1:11">
      <c r="A16" s="19">
        <v>14</v>
      </c>
      <c r="B16" s="37" t="s">
        <v>533</v>
      </c>
      <c r="C16" s="38" t="s">
        <v>74</v>
      </c>
      <c r="D16" s="19">
        <v>51841</v>
      </c>
      <c r="E16" s="38">
        <v>47966</v>
      </c>
      <c r="F16" s="190" t="s">
        <v>75</v>
      </c>
      <c r="G16" s="2">
        <f t="shared" si="0"/>
        <v>23983</v>
      </c>
      <c r="H16" s="2"/>
      <c r="I16" s="2"/>
      <c r="J16" s="2"/>
      <c r="K16" s="2"/>
    </row>
    <row r="17" ht="28.5" customHeight="1" spans="1:11">
      <c r="A17" s="19">
        <v>15</v>
      </c>
      <c r="B17" s="37" t="s">
        <v>534</v>
      </c>
      <c r="C17" s="38" t="s">
        <v>74</v>
      </c>
      <c r="D17" s="19">
        <v>55000</v>
      </c>
      <c r="E17" s="38">
        <v>54725</v>
      </c>
      <c r="F17" s="190" t="s">
        <v>535</v>
      </c>
      <c r="G17" s="2">
        <f t="shared" si="0"/>
        <v>27363</v>
      </c>
      <c r="H17" s="2"/>
      <c r="I17" s="2"/>
      <c r="J17" s="2"/>
      <c r="K17" s="2"/>
    </row>
    <row r="18" ht="28.5" customHeight="1" spans="1:11">
      <c r="A18" s="19">
        <v>16</v>
      </c>
      <c r="B18" s="37" t="s">
        <v>536</v>
      </c>
      <c r="C18" s="38" t="s">
        <v>74</v>
      </c>
      <c r="D18" s="19">
        <v>52000</v>
      </c>
      <c r="E18" s="38">
        <v>51725</v>
      </c>
      <c r="F18" s="19"/>
      <c r="G18" s="2">
        <f t="shared" si="0"/>
        <v>25863</v>
      </c>
      <c r="H18" s="2"/>
      <c r="I18" s="2"/>
      <c r="J18" s="2"/>
      <c r="K18" s="2"/>
    </row>
    <row r="19" ht="28.5" customHeight="1" spans="1:11">
      <c r="A19" s="19">
        <v>18</v>
      </c>
      <c r="B19" s="37" t="s">
        <v>539</v>
      </c>
      <c r="C19" s="38" t="s">
        <v>74</v>
      </c>
      <c r="D19" s="19">
        <v>60000</v>
      </c>
      <c r="E19" s="38">
        <v>59725</v>
      </c>
      <c r="F19" s="190" t="s">
        <v>540</v>
      </c>
      <c r="G19" s="2">
        <f t="shared" si="0"/>
        <v>29863</v>
      </c>
      <c r="H19" s="2"/>
      <c r="I19" s="2"/>
      <c r="J19" s="2"/>
      <c r="K19" s="2"/>
    </row>
    <row r="20" ht="28.5" customHeight="1" spans="1:11">
      <c r="A20" s="19">
        <v>19</v>
      </c>
      <c r="B20" s="37" t="s">
        <v>541</v>
      </c>
      <c r="C20" s="38" t="s">
        <v>74</v>
      </c>
      <c r="D20" s="19">
        <v>62000</v>
      </c>
      <c r="E20" s="38">
        <v>61725</v>
      </c>
      <c r="F20" s="190" t="s">
        <v>77</v>
      </c>
      <c r="G20" s="2">
        <f t="shared" si="0"/>
        <v>30863</v>
      </c>
      <c r="H20" s="2"/>
      <c r="I20" s="2"/>
      <c r="J20" s="2"/>
      <c r="K20" s="2"/>
    </row>
    <row r="21" ht="28.5" customHeight="1" spans="1:11">
      <c r="A21" s="19">
        <v>20</v>
      </c>
      <c r="B21" s="37" t="s">
        <v>542</v>
      </c>
      <c r="C21" s="38" t="s">
        <v>61</v>
      </c>
      <c r="D21" s="19">
        <v>34510</v>
      </c>
      <c r="E21" s="38">
        <v>34235</v>
      </c>
      <c r="F21" s="190" t="s">
        <v>543</v>
      </c>
      <c r="G21" s="2">
        <f t="shared" si="0"/>
        <v>17118</v>
      </c>
      <c r="H21" s="2"/>
      <c r="I21" s="2"/>
      <c r="J21" s="2"/>
      <c r="K21" s="2"/>
    </row>
    <row r="22" ht="28.5" customHeight="1" spans="1:11">
      <c r="A22" s="19">
        <v>21</v>
      </c>
      <c r="B22" s="37" t="s">
        <v>544</v>
      </c>
      <c r="C22" s="38" t="s">
        <v>61</v>
      </c>
      <c r="D22" s="19">
        <v>20000</v>
      </c>
      <c r="E22" s="38">
        <v>19775</v>
      </c>
      <c r="F22" s="190" t="s">
        <v>545</v>
      </c>
      <c r="G22" s="2">
        <f t="shared" si="0"/>
        <v>9888</v>
      </c>
      <c r="H22" s="2"/>
      <c r="I22" s="2"/>
      <c r="J22" s="2"/>
      <c r="K22" s="2"/>
    </row>
    <row r="23" ht="28.5" customHeight="1" spans="1:11">
      <c r="A23" s="19">
        <v>22</v>
      </c>
      <c r="B23" s="37" t="s">
        <v>546</v>
      </c>
      <c r="C23" s="38" t="s">
        <v>61</v>
      </c>
      <c r="D23" s="19">
        <v>35000</v>
      </c>
      <c r="E23" s="38">
        <v>34725</v>
      </c>
      <c r="F23" s="190" t="s">
        <v>547</v>
      </c>
      <c r="G23" s="2">
        <f t="shared" si="0"/>
        <v>17363</v>
      </c>
      <c r="H23" s="2"/>
      <c r="I23" s="2"/>
      <c r="J23" s="2"/>
      <c r="K23" s="2"/>
    </row>
    <row r="24" ht="28.5" customHeight="1" spans="1:11">
      <c r="A24" s="19">
        <v>24</v>
      </c>
      <c r="B24" s="37" t="s">
        <v>550</v>
      </c>
      <c r="C24" s="38" t="s">
        <v>61</v>
      </c>
      <c r="D24" s="19">
        <v>25000</v>
      </c>
      <c r="E24" s="38">
        <v>24725</v>
      </c>
      <c r="F24" s="190" t="s">
        <v>551</v>
      </c>
      <c r="G24" s="2">
        <f t="shared" si="0"/>
        <v>12363</v>
      </c>
      <c r="H24" s="2"/>
      <c r="I24" s="2"/>
      <c r="J24" s="2"/>
      <c r="K24" s="2"/>
    </row>
    <row r="25" ht="28.5" customHeight="1" spans="1:11">
      <c r="A25" s="19">
        <v>25</v>
      </c>
      <c r="B25" s="37" t="s">
        <v>552</v>
      </c>
      <c r="C25" s="38" t="s">
        <v>61</v>
      </c>
      <c r="D25" s="19">
        <v>26460</v>
      </c>
      <c r="E25" s="38">
        <v>26185</v>
      </c>
      <c r="F25" s="190" t="s">
        <v>86</v>
      </c>
      <c r="G25" s="2">
        <f t="shared" si="0"/>
        <v>13093</v>
      </c>
      <c r="H25" s="2"/>
      <c r="I25" s="2"/>
      <c r="J25" s="2"/>
      <c r="K25" s="2"/>
    </row>
    <row r="26" ht="43.5" customHeight="1" spans="1:11">
      <c r="A26" s="19">
        <v>26</v>
      </c>
      <c r="B26" s="37" t="s">
        <v>553</v>
      </c>
      <c r="C26" s="38" t="s">
        <v>554</v>
      </c>
      <c r="D26" s="19">
        <v>100000</v>
      </c>
      <c r="E26" s="38">
        <v>96125</v>
      </c>
      <c r="F26" s="187" t="s">
        <v>555</v>
      </c>
      <c r="G26" s="2">
        <f t="shared" si="0"/>
        <v>48063</v>
      </c>
      <c r="H26" s="2"/>
      <c r="I26" s="2"/>
      <c r="J26" s="2"/>
      <c r="K26" s="2"/>
    </row>
    <row r="27" ht="28.5" customHeight="1" spans="1:11">
      <c r="A27" s="19">
        <v>27</v>
      </c>
      <c r="B27" s="37" t="s">
        <v>556</v>
      </c>
      <c r="C27" s="38" t="s">
        <v>557</v>
      </c>
      <c r="D27" s="19">
        <v>65000</v>
      </c>
      <c r="E27" s="38">
        <v>64725</v>
      </c>
      <c r="F27" s="187" t="s">
        <v>558</v>
      </c>
      <c r="G27" s="2">
        <f t="shared" si="0"/>
        <v>32363</v>
      </c>
      <c r="H27" s="2"/>
      <c r="I27" s="2"/>
      <c r="J27" s="2"/>
      <c r="K27" s="2"/>
    </row>
    <row r="28" ht="28.5" customHeight="1" spans="1:11">
      <c r="A28" s="19">
        <v>28</v>
      </c>
      <c r="B28" s="37" t="s">
        <v>559</v>
      </c>
      <c r="C28" s="38" t="s">
        <v>102</v>
      </c>
      <c r="D28" s="19">
        <v>89961</v>
      </c>
      <c r="E28" s="38">
        <v>86086</v>
      </c>
      <c r="F28" s="187" t="s">
        <v>107</v>
      </c>
      <c r="G28" s="2">
        <f t="shared" si="0"/>
        <v>43043</v>
      </c>
      <c r="H28" s="2"/>
      <c r="I28" s="2"/>
      <c r="J28" s="2"/>
      <c r="K28" s="2"/>
    </row>
    <row r="29" ht="28.5" customHeight="1" spans="1:11">
      <c r="A29" s="19">
        <v>29</v>
      </c>
      <c r="B29" s="37" t="s">
        <v>560</v>
      </c>
      <c r="C29" s="38" t="s">
        <v>102</v>
      </c>
      <c r="D29" s="19">
        <v>75000</v>
      </c>
      <c r="E29" s="38">
        <v>74725</v>
      </c>
      <c r="F29" s="187" t="s">
        <v>105</v>
      </c>
      <c r="G29" s="2">
        <f t="shared" si="0"/>
        <v>37363</v>
      </c>
      <c r="H29" s="2"/>
      <c r="I29" s="2"/>
      <c r="J29" s="2"/>
      <c r="K29" s="2"/>
    </row>
    <row r="30" ht="28.5" customHeight="1" spans="1:11">
      <c r="A30" s="19">
        <v>30</v>
      </c>
      <c r="B30" s="37" t="s">
        <v>561</v>
      </c>
      <c r="C30" s="38" t="s">
        <v>410</v>
      </c>
      <c r="D30" s="19">
        <v>45000</v>
      </c>
      <c r="E30" s="38">
        <v>44725</v>
      </c>
      <c r="F30" s="187" t="s">
        <v>562</v>
      </c>
      <c r="G30" s="2">
        <f t="shared" si="0"/>
        <v>22363</v>
      </c>
      <c r="H30" s="2"/>
      <c r="I30" s="2"/>
      <c r="J30" s="2"/>
      <c r="K30" s="2"/>
    </row>
    <row r="31" ht="28.5" customHeight="1" spans="1:11">
      <c r="A31" s="19">
        <v>31</v>
      </c>
      <c r="B31" s="37" t="s">
        <v>563</v>
      </c>
      <c r="C31" s="38" t="s">
        <v>410</v>
      </c>
      <c r="D31" s="19">
        <v>55000</v>
      </c>
      <c r="E31" s="38">
        <v>54725</v>
      </c>
      <c r="F31" s="187" t="s">
        <v>564</v>
      </c>
      <c r="G31" s="2">
        <f t="shared" si="0"/>
        <v>27363</v>
      </c>
      <c r="H31" s="2"/>
      <c r="I31" s="2"/>
      <c r="J31" s="2"/>
      <c r="K31" s="2"/>
    </row>
    <row r="32" ht="28.5" customHeight="1" spans="1:11">
      <c r="A32" s="19">
        <v>32</v>
      </c>
      <c r="B32" s="37" t="s">
        <v>565</v>
      </c>
      <c r="C32" s="38" t="s">
        <v>61</v>
      </c>
      <c r="D32" s="19">
        <v>65000</v>
      </c>
      <c r="E32" s="38">
        <v>68725</v>
      </c>
      <c r="F32" s="187" t="s">
        <v>109</v>
      </c>
      <c r="G32" s="2">
        <f t="shared" si="0"/>
        <v>34363</v>
      </c>
      <c r="H32" s="2"/>
      <c r="I32" s="2"/>
      <c r="J32" s="2"/>
      <c r="K32" s="2"/>
    </row>
    <row r="33" ht="28.5" customHeight="1" spans="1:11">
      <c r="A33" s="19">
        <v>33</v>
      </c>
      <c r="B33" s="37" t="s">
        <v>566</v>
      </c>
      <c r="C33" s="38" t="s">
        <v>61</v>
      </c>
      <c r="D33" s="19">
        <v>31949</v>
      </c>
      <c r="E33" s="38">
        <v>31674</v>
      </c>
      <c r="F33" s="187" t="s">
        <v>120</v>
      </c>
      <c r="G33" s="2">
        <f t="shared" si="0"/>
        <v>15837</v>
      </c>
      <c r="H33" s="2"/>
      <c r="I33" s="2"/>
      <c r="J33" s="2"/>
      <c r="K33" s="2"/>
    </row>
    <row r="34" ht="28.5" customHeight="1" spans="1:11">
      <c r="A34" s="19">
        <v>34</v>
      </c>
      <c r="B34" s="37" t="s">
        <v>567</v>
      </c>
      <c r="C34" s="38" t="s">
        <v>61</v>
      </c>
      <c r="D34" s="19">
        <v>20000</v>
      </c>
      <c r="E34" s="38">
        <v>19775</v>
      </c>
      <c r="F34" s="187" t="s">
        <v>122</v>
      </c>
      <c r="G34" s="2">
        <f t="shared" si="0"/>
        <v>9888</v>
      </c>
      <c r="H34" s="2"/>
      <c r="I34" s="2"/>
      <c r="J34" s="2"/>
      <c r="K34" s="2"/>
    </row>
    <row r="35" ht="28.5" customHeight="1" spans="1:11">
      <c r="A35" s="19">
        <v>35</v>
      </c>
      <c r="B35" s="37" t="s">
        <v>568</v>
      </c>
      <c r="C35" s="38" t="s">
        <v>61</v>
      </c>
      <c r="D35" s="19">
        <v>25000</v>
      </c>
      <c r="E35" s="38">
        <v>24725</v>
      </c>
      <c r="F35" s="187" t="s">
        <v>569</v>
      </c>
      <c r="G35" s="2">
        <f t="shared" si="0"/>
        <v>12363</v>
      </c>
      <c r="H35" s="2"/>
      <c r="I35" s="2"/>
      <c r="J35" s="2"/>
      <c r="K35" s="2"/>
    </row>
    <row r="36" ht="28.5" customHeight="1" spans="1:11">
      <c r="A36" s="19">
        <v>36</v>
      </c>
      <c r="B36" s="37" t="s">
        <v>570</v>
      </c>
      <c r="C36" s="38" t="s">
        <v>61</v>
      </c>
      <c r="D36" s="19">
        <v>45000</v>
      </c>
      <c r="E36" s="38">
        <v>44725</v>
      </c>
      <c r="F36" s="187" t="s">
        <v>111</v>
      </c>
      <c r="G36" s="2">
        <f t="shared" si="0"/>
        <v>22363</v>
      </c>
      <c r="H36" s="2"/>
      <c r="I36" s="2"/>
      <c r="J36" s="2"/>
      <c r="K36" s="2"/>
    </row>
    <row r="37" ht="28.5" customHeight="1" spans="1:11">
      <c r="A37" s="19">
        <v>37</v>
      </c>
      <c r="B37" s="37" t="s">
        <v>571</v>
      </c>
      <c r="C37" s="38" t="s">
        <v>61</v>
      </c>
      <c r="D37" s="19">
        <v>15000</v>
      </c>
      <c r="E37" s="38">
        <v>14925</v>
      </c>
      <c r="F37" s="187" t="s">
        <v>572</v>
      </c>
      <c r="G37" s="2">
        <f t="shared" si="0"/>
        <v>7463</v>
      </c>
      <c r="H37" s="2"/>
      <c r="I37" s="2"/>
      <c r="J37" s="2"/>
      <c r="K37" s="2"/>
    </row>
    <row r="38" ht="29.25" customHeight="1" spans="1:11">
      <c r="A38" s="19">
        <v>38</v>
      </c>
      <c r="B38" s="37" t="s">
        <v>573</v>
      </c>
      <c r="C38" s="38" t="s">
        <v>61</v>
      </c>
      <c r="D38" s="19">
        <v>15000</v>
      </c>
      <c r="E38" s="38">
        <v>14925</v>
      </c>
      <c r="F38" s="187" t="s">
        <v>574</v>
      </c>
      <c r="G38" s="2">
        <f t="shared" si="0"/>
        <v>7463</v>
      </c>
      <c r="H38" s="2"/>
      <c r="I38" s="2"/>
      <c r="J38" s="2"/>
      <c r="K38" s="2"/>
    </row>
    <row r="39" ht="28.5" customHeight="1" spans="1:11">
      <c r="A39" s="19">
        <v>39</v>
      </c>
      <c r="B39" s="37" t="s">
        <v>575</v>
      </c>
      <c r="C39" s="38" t="s">
        <v>61</v>
      </c>
      <c r="D39" s="19">
        <v>60000</v>
      </c>
      <c r="E39" s="38">
        <v>59725</v>
      </c>
      <c r="F39" s="187" t="s">
        <v>100</v>
      </c>
      <c r="G39" s="2">
        <f t="shared" si="0"/>
        <v>29863</v>
      </c>
      <c r="H39" s="2"/>
      <c r="I39" s="2"/>
      <c r="J39" s="2"/>
      <c r="K39" s="2"/>
    </row>
    <row r="40" ht="28.5" customHeight="1" spans="1:11">
      <c r="A40" s="19">
        <v>40</v>
      </c>
      <c r="B40" s="37" t="s">
        <v>576</v>
      </c>
      <c r="C40" s="38" t="s">
        <v>61</v>
      </c>
      <c r="D40" s="19">
        <v>25000</v>
      </c>
      <c r="E40" s="38">
        <v>24725</v>
      </c>
      <c r="F40" s="187" t="s">
        <v>577</v>
      </c>
      <c r="G40" s="2">
        <f t="shared" si="0"/>
        <v>12363</v>
      </c>
      <c r="H40" s="2"/>
      <c r="I40" s="2"/>
      <c r="J40" s="2"/>
      <c r="K40" s="2"/>
    </row>
    <row r="41" ht="28.5" customHeight="1" spans="1:11">
      <c r="A41" s="19">
        <v>41</v>
      </c>
      <c r="B41" s="37" t="s">
        <v>578</v>
      </c>
      <c r="C41" s="38" t="s">
        <v>61</v>
      </c>
      <c r="D41" s="19">
        <v>25000</v>
      </c>
      <c r="E41" s="38">
        <v>24725</v>
      </c>
      <c r="F41" s="187" t="s">
        <v>579</v>
      </c>
      <c r="G41" s="2">
        <f t="shared" si="0"/>
        <v>12363</v>
      </c>
      <c r="H41" s="2"/>
      <c r="I41" s="2"/>
      <c r="J41" s="2"/>
      <c r="K41" s="2"/>
    </row>
    <row r="42" ht="28.5" customHeight="1" spans="1:11">
      <c r="A42" s="19">
        <v>42</v>
      </c>
      <c r="B42" s="37" t="s">
        <v>580</v>
      </c>
      <c r="C42" s="38" t="s">
        <v>61</v>
      </c>
      <c r="D42" s="19">
        <v>25000</v>
      </c>
      <c r="E42" s="38">
        <v>24725</v>
      </c>
      <c r="F42" s="187" t="s">
        <v>130</v>
      </c>
      <c r="G42" s="2">
        <f t="shared" si="0"/>
        <v>12363</v>
      </c>
      <c r="H42" s="2"/>
      <c r="I42" s="2"/>
      <c r="J42" s="2"/>
      <c r="K42" s="2"/>
    </row>
    <row r="43" ht="28.5" customHeight="1" spans="1:11">
      <c r="A43" s="19">
        <v>43</v>
      </c>
      <c r="B43" s="37" t="s">
        <v>581</v>
      </c>
      <c r="C43" s="38" t="s">
        <v>399</v>
      </c>
      <c r="D43" s="19">
        <v>80000</v>
      </c>
      <c r="E43" s="38">
        <v>79725</v>
      </c>
      <c r="F43" s="190" t="s">
        <v>582</v>
      </c>
      <c r="G43" s="2">
        <f t="shared" si="0"/>
        <v>39863</v>
      </c>
      <c r="H43" s="2"/>
      <c r="I43" s="2"/>
      <c r="J43" s="2"/>
      <c r="K43" s="2"/>
    </row>
    <row r="44" ht="28.5" customHeight="1" spans="1:11">
      <c r="A44" s="19">
        <v>45</v>
      </c>
      <c r="B44" s="40" t="s">
        <v>585</v>
      </c>
      <c r="C44" s="38" t="s">
        <v>74</v>
      </c>
      <c r="D44" s="19">
        <v>50000</v>
      </c>
      <c r="E44" s="38">
        <v>49725</v>
      </c>
      <c r="F44" s="190" t="s">
        <v>586</v>
      </c>
      <c r="G44" s="2">
        <f t="shared" si="0"/>
        <v>24863</v>
      </c>
      <c r="H44" s="2"/>
      <c r="I44" s="2"/>
      <c r="J44" s="2"/>
      <c r="K44" s="2"/>
    </row>
    <row r="45" ht="28.5" customHeight="1" spans="1:11">
      <c r="A45" s="19">
        <v>46</v>
      </c>
      <c r="B45" s="40" t="s">
        <v>587</v>
      </c>
      <c r="C45" s="38" t="s">
        <v>74</v>
      </c>
      <c r="D45" s="19">
        <v>50000</v>
      </c>
      <c r="E45" s="38">
        <v>49725</v>
      </c>
      <c r="F45" s="190" t="s">
        <v>588</v>
      </c>
      <c r="G45" s="2">
        <f t="shared" si="0"/>
        <v>24863</v>
      </c>
      <c r="H45" s="2"/>
      <c r="I45" s="2"/>
      <c r="J45" s="2"/>
      <c r="K45" s="2"/>
    </row>
    <row r="46" ht="28.5" customHeight="1" spans="1:11">
      <c r="A46" s="19">
        <v>48</v>
      </c>
      <c r="B46" s="37" t="s">
        <v>590</v>
      </c>
      <c r="C46" s="38" t="s">
        <v>74</v>
      </c>
      <c r="D46" s="19">
        <v>46559</v>
      </c>
      <c r="E46" s="38">
        <v>42684</v>
      </c>
      <c r="F46" s="190" t="s">
        <v>148</v>
      </c>
      <c r="G46" s="2">
        <f t="shared" si="0"/>
        <v>21342</v>
      </c>
      <c r="H46" s="2"/>
      <c r="I46" s="2"/>
      <c r="J46" s="2"/>
      <c r="K46" s="2"/>
    </row>
    <row r="47" ht="28.5" customHeight="1" spans="1:11">
      <c r="A47" s="19">
        <v>49</v>
      </c>
      <c r="B47" s="37" t="s">
        <v>591</v>
      </c>
      <c r="C47" s="38" t="s">
        <v>74</v>
      </c>
      <c r="D47" s="19">
        <v>40548</v>
      </c>
      <c r="E47" s="38">
        <v>36673</v>
      </c>
      <c r="F47" s="190" t="s">
        <v>150</v>
      </c>
      <c r="G47" s="2">
        <f t="shared" si="0"/>
        <v>18337</v>
      </c>
      <c r="H47" s="2"/>
      <c r="I47" s="2"/>
      <c r="J47" s="2"/>
      <c r="K47" s="2"/>
    </row>
    <row r="48" ht="28.5" customHeight="1" spans="1:11">
      <c r="A48" s="19">
        <v>50</v>
      </c>
      <c r="B48" s="37" t="s">
        <v>592</v>
      </c>
      <c r="C48" s="38" t="s">
        <v>74</v>
      </c>
      <c r="D48" s="19">
        <v>36045</v>
      </c>
      <c r="E48" s="38">
        <v>36170</v>
      </c>
      <c r="F48" s="190" t="s">
        <v>593</v>
      </c>
      <c r="G48" s="2">
        <f t="shared" si="0"/>
        <v>18085</v>
      </c>
      <c r="H48" s="2"/>
      <c r="I48" s="2"/>
      <c r="J48" s="2"/>
      <c r="K48" s="2"/>
    </row>
    <row r="49" ht="28.5" customHeight="1" spans="1:11">
      <c r="A49" s="19">
        <v>52</v>
      </c>
      <c r="B49" s="37" t="s">
        <v>596</v>
      </c>
      <c r="C49" s="38" t="s">
        <v>74</v>
      </c>
      <c r="D49" s="19">
        <v>45000</v>
      </c>
      <c r="E49" s="38">
        <v>44725</v>
      </c>
      <c r="F49" s="190" t="s">
        <v>597</v>
      </c>
      <c r="G49" s="2">
        <f t="shared" si="0"/>
        <v>22363</v>
      </c>
      <c r="H49" s="2"/>
      <c r="I49" s="2"/>
      <c r="J49" s="2"/>
      <c r="K49" s="2"/>
    </row>
    <row r="50" ht="28.5" customHeight="1" spans="1:11">
      <c r="A50" s="19">
        <v>53</v>
      </c>
      <c r="B50" s="37" t="s">
        <v>598</v>
      </c>
      <c r="C50" s="38" t="s">
        <v>82</v>
      </c>
      <c r="D50" s="19">
        <v>20000</v>
      </c>
      <c r="E50" s="38">
        <v>19775</v>
      </c>
      <c r="F50" s="190" t="s">
        <v>599</v>
      </c>
      <c r="G50" s="2">
        <f t="shared" si="0"/>
        <v>9888</v>
      </c>
      <c r="H50" s="2"/>
      <c r="I50" s="2"/>
      <c r="J50" s="2"/>
      <c r="K50" s="2"/>
    </row>
    <row r="51" ht="28.5" customHeight="1" spans="1:11">
      <c r="A51" s="19">
        <v>54</v>
      </c>
      <c r="B51" s="37" t="s">
        <v>600</v>
      </c>
      <c r="C51" s="38" t="s">
        <v>61</v>
      </c>
      <c r="D51" s="19">
        <v>34510</v>
      </c>
      <c r="E51" s="38">
        <v>34235</v>
      </c>
      <c r="F51" s="190" t="s">
        <v>601</v>
      </c>
      <c r="G51" s="2">
        <f t="shared" si="0"/>
        <v>17118</v>
      </c>
      <c r="H51" s="2"/>
      <c r="I51" s="2"/>
      <c r="J51" s="2"/>
      <c r="K51" s="2"/>
    </row>
    <row r="52" ht="28.5" customHeight="1" spans="1:11">
      <c r="A52" s="19">
        <v>55</v>
      </c>
      <c r="B52" s="37" t="s">
        <v>602</v>
      </c>
      <c r="C52" s="38" t="s">
        <v>61</v>
      </c>
      <c r="D52" s="19">
        <v>65000</v>
      </c>
      <c r="E52" s="38">
        <v>64725</v>
      </c>
      <c r="F52" s="190" t="s">
        <v>141</v>
      </c>
      <c r="G52" s="2">
        <f t="shared" si="0"/>
        <v>32363</v>
      </c>
      <c r="H52" s="2"/>
      <c r="I52" s="2"/>
      <c r="J52" s="2"/>
      <c r="K52" s="2"/>
    </row>
    <row r="53" ht="28.5" customHeight="1" spans="1:11">
      <c r="A53" s="19">
        <v>56</v>
      </c>
      <c r="B53" s="37" t="s">
        <v>603</v>
      </c>
      <c r="C53" s="38" t="s">
        <v>61</v>
      </c>
      <c r="D53" s="19">
        <v>23000</v>
      </c>
      <c r="E53" s="38">
        <v>22725</v>
      </c>
      <c r="F53" s="190" t="s">
        <v>604</v>
      </c>
      <c r="G53" s="2">
        <f t="shared" si="0"/>
        <v>11363</v>
      </c>
      <c r="H53" s="2"/>
      <c r="I53" s="2"/>
      <c r="J53" s="2"/>
      <c r="K53" s="2"/>
    </row>
    <row r="54" ht="28.5" customHeight="1" spans="1:11">
      <c r="A54" s="19">
        <v>58</v>
      </c>
      <c r="B54" s="37" t="s">
        <v>606</v>
      </c>
      <c r="C54" s="38" t="s">
        <v>61</v>
      </c>
      <c r="D54" s="19">
        <v>33460</v>
      </c>
      <c r="E54" s="38">
        <v>33185</v>
      </c>
      <c r="F54" s="190" t="s">
        <v>607</v>
      </c>
      <c r="G54" s="2">
        <f t="shared" si="0"/>
        <v>16593</v>
      </c>
      <c r="H54" s="2"/>
      <c r="I54" s="2"/>
      <c r="J54" s="2"/>
      <c r="K54" s="2"/>
    </row>
    <row r="55" ht="28.5" customHeight="1" spans="1:11">
      <c r="A55" s="19">
        <v>59</v>
      </c>
      <c r="B55" s="37" t="s">
        <v>608</v>
      </c>
      <c r="C55" s="38" t="s">
        <v>61</v>
      </c>
      <c r="D55" s="19">
        <v>17000</v>
      </c>
      <c r="E55" s="38">
        <v>16775</v>
      </c>
      <c r="F55" s="190" t="s">
        <v>609</v>
      </c>
      <c r="G55" s="2">
        <f t="shared" si="0"/>
        <v>8388</v>
      </c>
      <c r="H55" s="2"/>
      <c r="I55" s="2"/>
      <c r="J55" s="2"/>
      <c r="K55" s="2"/>
    </row>
    <row r="56" ht="28.5" customHeight="1" spans="1:11">
      <c r="A56" s="19">
        <v>60</v>
      </c>
      <c r="B56" s="37" t="s">
        <v>610</v>
      </c>
      <c r="C56" s="38" t="s">
        <v>61</v>
      </c>
      <c r="D56" s="19">
        <v>75000</v>
      </c>
      <c r="E56" s="38">
        <v>74725</v>
      </c>
      <c r="F56" s="190" t="s">
        <v>611</v>
      </c>
      <c r="G56" s="2">
        <f t="shared" si="0"/>
        <v>37363</v>
      </c>
      <c r="H56" s="2"/>
      <c r="I56" s="2"/>
      <c r="J56" s="2"/>
      <c r="K56" s="2"/>
    </row>
    <row r="57" ht="28.5" customHeight="1" spans="1:11">
      <c r="A57" s="19">
        <v>61</v>
      </c>
      <c r="B57" s="37" t="s">
        <v>612</v>
      </c>
      <c r="C57" s="38" t="s">
        <v>61</v>
      </c>
      <c r="D57" s="19">
        <v>18000</v>
      </c>
      <c r="E57" s="38">
        <v>17775</v>
      </c>
      <c r="F57" s="190" t="s">
        <v>613</v>
      </c>
      <c r="G57" s="2">
        <f t="shared" si="0"/>
        <v>8888</v>
      </c>
      <c r="H57" s="2"/>
      <c r="I57" s="2"/>
      <c r="J57" s="2"/>
      <c r="K57" s="2"/>
    </row>
    <row r="58" ht="28.5" customHeight="1" spans="1:11">
      <c r="A58" s="19">
        <v>62</v>
      </c>
      <c r="B58" s="37" t="s">
        <v>614</v>
      </c>
      <c r="C58" s="38" t="s">
        <v>61</v>
      </c>
      <c r="D58" s="19">
        <v>50000</v>
      </c>
      <c r="E58" s="38">
        <v>49725</v>
      </c>
      <c r="F58" s="190" t="s">
        <v>615</v>
      </c>
      <c r="G58" s="2">
        <f t="shared" si="0"/>
        <v>24863</v>
      </c>
      <c r="H58" s="2"/>
      <c r="I58" s="2"/>
      <c r="J58" s="2"/>
      <c r="K58" s="2"/>
    </row>
    <row r="59" ht="28.5" customHeight="1" spans="1:11">
      <c r="A59" s="19">
        <v>63</v>
      </c>
      <c r="B59" s="37" t="s">
        <v>616</v>
      </c>
      <c r="C59" s="38" t="s">
        <v>61</v>
      </c>
      <c r="D59" s="19">
        <v>31460</v>
      </c>
      <c r="E59" s="38">
        <v>31185</v>
      </c>
      <c r="F59" s="190" t="s">
        <v>143</v>
      </c>
      <c r="G59" s="2">
        <f t="shared" si="0"/>
        <v>15593</v>
      </c>
      <c r="H59" s="2"/>
      <c r="I59" s="2"/>
      <c r="J59" s="2"/>
      <c r="K59" s="2"/>
    </row>
    <row r="60" ht="28.5" customHeight="1" spans="1:11">
      <c r="A60" s="19">
        <v>64</v>
      </c>
      <c r="B60" s="37" t="s">
        <v>617</v>
      </c>
      <c r="C60" s="38" t="s">
        <v>61</v>
      </c>
      <c r="D60" s="19">
        <v>65000</v>
      </c>
      <c r="E60" s="38">
        <v>64725</v>
      </c>
      <c r="F60" s="190" t="s">
        <v>618</v>
      </c>
      <c r="G60" s="2">
        <f t="shared" si="0"/>
        <v>32363</v>
      </c>
      <c r="H60" s="2"/>
      <c r="I60" s="2"/>
      <c r="J60" s="2"/>
      <c r="K60" s="2"/>
    </row>
    <row r="61" ht="28.5" customHeight="1" spans="1:11">
      <c r="A61" s="19">
        <v>65</v>
      </c>
      <c r="B61" s="37" t="s">
        <v>619</v>
      </c>
      <c r="C61" s="38" t="s">
        <v>61</v>
      </c>
      <c r="D61" s="19">
        <v>15000</v>
      </c>
      <c r="E61" s="38">
        <v>14970</v>
      </c>
      <c r="F61" s="190" t="s">
        <v>179</v>
      </c>
      <c r="G61" s="2">
        <f t="shared" si="0"/>
        <v>7485</v>
      </c>
      <c r="H61" s="2"/>
      <c r="I61" s="2"/>
      <c r="J61" s="2"/>
      <c r="K61" s="2"/>
    </row>
    <row r="62" ht="28.5" customHeight="1" spans="1:11">
      <c r="A62" s="19">
        <v>66</v>
      </c>
      <c r="B62" s="37" t="s">
        <v>620</v>
      </c>
      <c r="C62" s="38" t="s">
        <v>61</v>
      </c>
      <c r="D62" s="19">
        <v>15000</v>
      </c>
      <c r="E62" s="38">
        <v>13170</v>
      </c>
      <c r="F62" s="190" t="s">
        <v>621</v>
      </c>
      <c r="G62" s="2">
        <f t="shared" si="0"/>
        <v>6585</v>
      </c>
      <c r="H62" s="2"/>
      <c r="I62" s="2"/>
      <c r="J62" s="2"/>
      <c r="K62" s="2"/>
    </row>
    <row r="63" ht="28.5" customHeight="1" spans="1:11">
      <c r="A63" s="19">
        <v>67</v>
      </c>
      <c r="B63" s="37" t="s">
        <v>622</v>
      </c>
      <c r="C63" s="38" t="s">
        <v>61</v>
      </c>
      <c r="D63" s="19">
        <v>25000</v>
      </c>
      <c r="E63" s="38">
        <v>24725</v>
      </c>
      <c r="F63" s="190" t="s">
        <v>623</v>
      </c>
      <c r="G63" s="2">
        <f t="shared" si="0"/>
        <v>12363</v>
      </c>
      <c r="H63" s="2"/>
      <c r="I63" s="2"/>
      <c r="J63" s="2"/>
      <c r="K63" s="2"/>
    </row>
    <row r="64" ht="28.5" customHeight="1" spans="1:11">
      <c r="A64" s="19">
        <v>68</v>
      </c>
      <c r="B64" s="37" t="s">
        <v>624</v>
      </c>
      <c r="C64" s="38" t="s">
        <v>43</v>
      </c>
      <c r="D64" s="19">
        <v>40395</v>
      </c>
      <c r="E64" s="38">
        <v>36520</v>
      </c>
      <c r="F64" s="190" t="s">
        <v>186</v>
      </c>
      <c r="G64" s="2">
        <f t="shared" si="0"/>
        <v>18260</v>
      </c>
      <c r="H64" s="2"/>
      <c r="I64" s="2"/>
      <c r="J64" s="2"/>
      <c r="K64" s="2"/>
    </row>
    <row r="65" ht="28.5" customHeight="1" spans="1:11">
      <c r="A65" s="19">
        <v>69</v>
      </c>
      <c r="B65" s="37" t="s">
        <v>625</v>
      </c>
      <c r="C65" s="38" t="s">
        <v>74</v>
      </c>
      <c r="D65" s="19">
        <v>49126</v>
      </c>
      <c r="E65" s="38">
        <v>45251</v>
      </c>
      <c r="F65" s="190" t="s">
        <v>315</v>
      </c>
      <c r="G65" s="2">
        <f t="shared" si="0"/>
        <v>22626</v>
      </c>
      <c r="H65" s="2"/>
      <c r="I65" s="2"/>
      <c r="J65" s="2"/>
      <c r="K65" s="2"/>
    </row>
    <row r="66" ht="28.5" customHeight="1" spans="1:11">
      <c r="A66" s="19">
        <v>70</v>
      </c>
      <c r="B66" s="37" t="s">
        <v>626</v>
      </c>
      <c r="C66" s="38" t="s">
        <v>74</v>
      </c>
      <c r="D66" s="19">
        <v>50000</v>
      </c>
      <c r="E66" s="38">
        <v>49725</v>
      </c>
      <c r="F66" s="190" t="s">
        <v>627</v>
      </c>
      <c r="G66" s="2">
        <f t="shared" si="0"/>
        <v>24863</v>
      </c>
      <c r="H66" s="2"/>
      <c r="I66" s="2"/>
      <c r="J66" s="2"/>
      <c r="K66" s="2"/>
    </row>
    <row r="67" ht="28.5" customHeight="1" spans="1:11">
      <c r="A67" s="19">
        <v>72</v>
      </c>
      <c r="B67" s="37" t="s">
        <v>629</v>
      </c>
      <c r="C67" s="38" t="s">
        <v>74</v>
      </c>
      <c r="D67" s="19">
        <v>75000</v>
      </c>
      <c r="E67" s="38">
        <v>74725</v>
      </c>
      <c r="F67" s="190" t="s">
        <v>630</v>
      </c>
      <c r="G67" s="2">
        <f t="shared" si="0"/>
        <v>37363</v>
      </c>
      <c r="H67" s="2"/>
      <c r="I67" s="2"/>
      <c r="J67" s="2"/>
      <c r="K67" s="2"/>
    </row>
    <row r="68" ht="28.5" customHeight="1" spans="1:11">
      <c r="A68" s="19">
        <v>73</v>
      </c>
      <c r="B68" s="37" t="s">
        <v>631</v>
      </c>
      <c r="C68" s="38" t="s">
        <v>74</v>
      </c>
      <c r="D68" s="19">
        <v>50000</v>
      </c>
      <c r="E68" s="38">
        <v>49725</v>
      </c>
      <c r="F68" s="190" t="s">
        <v>632</v>
      </c>
      <c r="G68" s="2">
        <f t="shared" si="0"/>
        <v>24863</v>
      </c>
      <c r="H68" s="2"/>
      <c r="I68" s="2"/>
      <c r="J68" s="2"/>
      <c r="K68" s="2"/>
    </row>
    <row r="69" ht="28.5" customHeight="1" spans="1:11">
      <c r="A69" s="19">
        <v>74</v>
      </c>
      <c r="B69" s="37" t="s">
        <v>633</v>
      </c>
      <c r="C69" s="38" t="s">
        <v>61</v>
      </c>
      <c r="D69" s="19">
        <v>17000</v>
      </c>
      <c r="E69" s="38">
        <v>20725</v>
      </c>
      <c r="F69" s="190" t="s">
        <v>634</v>
      </c>
      <c r="G69" s="2">
        <f t="shared" si="0"/>
        <v>10363</v>
      </c>
      <c r="H69" s="2"/>
      <c r="I69" s="2"/>
      <c r="J69" s="2"/>
      <c r="K69" s="2"/>
    </row>
    <row r="70" ht="28.5" customHeight="1" spans="1:11">
      <c r="A70" s="19">
        <v>76</v>
      </c>
      <c r="B70" s="37" t="s">
        <v>637</v>
      </c>
      <c r="C70" s="38" t="s">
        <v>61</v>
      </c>
      <c r="D70" s="19">
        <v>30000</v>
      </c>
      <c r="E70" s="38">
        <v>29725</v>
      </c>
      <c r="F70" s="190" t="s">
        <v>638</v>
      </c>
      <c r="G70" s="2">
        <f t="shared" si="0"/>
        <v>14863</v>
      </c>
      <c r="H70" s="2"/>
      <c r="I70" s="2"/>
      <c r="J70" s="2"/>
      <c r="K70" s="2"/>
    </row>
    <row r="71" ht="28.5" customHeight="1" spans="1:11">
      <c r="A71" s="19">
        <v>77</v>
      </c>
      <c r="B71" s="37" t="s">
        <v>639</v>
      </c>
      <c r="C71" s="38" t="s">
        <v>61</v>
      </c>
      <c r="D71" s="19">
        <v>32000</v>
      </c>
      <c r="E71" s="38">
        <v>31725</v>
      </c>
      <c r="F71" s="190" t="s">
        <v>640</v>
      </c>
      <c r="G71" s="2">
        <f t="shared" si="0"/>
        <v>15863</v>
      </c>
      <c r="H71" s="2"/>
      <c r="I71" s="2"/>
      <c r="J71" s="2"/>
      <c r="K71" s="2"/>
    </row>
    <row r="72" ht="28.5" customHeight="1" spans="1:11">
      <c r="A72" s="19">
        <v>79</v>
      </c>
      <c r="B72" s="37" t="s">
        <v>643</v>
      </c>
      <c r="C72" s="38" t="s">
        <v>61</v>
      </c>
      <c r="D72" s="19">
        <v>35000</v>
      </c>
      <c r="E72" s="38">
        <v>34725</v>
      </c>
      <c r="F72" s="190" t="s">
        <v>644</v>
      </c>
      <c r="G72" s="2">
        <f t="shared" si="0"/>
        <v>17363</v>
      </c>
      <c r="H72" s="2"/>
      <c r="I72" s="2"/>
      <c r="J72" s="2"/>
      <c r="K72" s="2"/>
    </row>
    <row r="73" ht="28.5" customHeight="1" spans="1:11">
      <c r="A73" s="19">
        <v>80</v>
      </c>
      <c r="B73" s="37" t="s">
        <v>645</v>
      </c>
      <c r="C73" s="38" t="s">
        <v>646</v>
      </c>
      <c r="D73" s="19">
        <v>52000</v>
      </c>
      <c r="E73" s="38">
        <v>51770</v>
      </c>
      <c r="F73" s="190" t="s">
        <v>647</v>
      </c>
      <c r="G73" s="2">
        <f t="shared" si="0"/>
        <v>25885</v>
      </c>
      <c r="H73" s="2"/>
      <c r="I73" s="2"/>
      <c r="J73" s="2"/>
      <c r="K73" s="2"/>
    </row>
    <row r="74" ht="28.5" customHeight="1" spans="1:11">
      <c r="A74" s="19">
        <v>81</v>
      </c>
      <c r="B74" s="37" t="s">
        <v>648</v>
      </c>
      <c r="C74" s="38" t="s">
        <v>61</v>
      </c>
      <c r="D74" s="19">
        <v>29000</v>
      </c>
      <c r="E74" s="38">
        <v>28770</v>
      </c>
      <c r="F74" s="190" t="s">
        <v>649</v>
      </c>
      <c r="G74" s="2">
        <f t="shared" si="0"/>
        <v>14385</v>
      </c>
      <c r="H74" s="2"/>
      <c r="I74" s="2"/>
      <c r="J74" s="2"/>
      <c r="K74" s="2"/>
    </row>
    <row r="75" ht="28.5" customHeight="1" spans="1:11">
      <c r="A75" s="19">
        <v>82</v>
      </c>
      <c r="B75" s="37" t="s">
        <v>650</v>
      </c>
      <c r="C75" s="38" t="s">
        <v>61</v>
      </c>
      <c r="D75" s="19">
        <v>15000</v>
      </c>
      <c r="E75" s="38">
        <v>14970</v>
      </c>
      <c r="F75" s="190" t="s">
        <v>651</v>
      </c>
      <c r="G75" s="2">
        <f t="shared" si="0"/>
        <v>7485</v>
      </c>
      <c r="H75" s="2"/>
      <c r="I75" s="2"/>
      <c r="J75" s="2"/>
      <c r="K75" s="2"/>
    </row>
    <row r="76" ht="28.5" customHeight="1" spans="1:11">
      <c r="A76" s="19">
        <v>83</v>
      </c>
      <c r="B76" s="37" t="s">
        <v>652</v>
      </c>
      <c r="C76" s="38" t="s">
        <v>61</v>
      </c>
      <c r="D76" s="19">
        <v>50000</v>
      </c>
      <c r="E76" s="38">
        <v>49770</v>
      </c>
      <c r="F76" s="190" t="s">
        <v>653</v>
      </c>
      <c r="G76" s="2">
        <f t="shared" si="0"/>
        <v>24885</v>
      </c>
      <c r="H76" s="2"/>
      <c r="I76" s="2"/>
      <c r="J76" s="2"/>
      <c r="K76" s="2"/>
    </row>
    <row r="77" ht="28.5" customHeight="1" spans="1:11">
      <c r="A77" s="19">
        <v>84</v>
      </c>
      <c r="B77" s="37" t="s">
        <v>654</v>
      </c>
      <c r="C77" s="38" t="s">
        <v>61</v>
      </c>
      <c r="D77" s="19">
        <v>16000</v>
      </c>
      <c r="E77" s="38">
        <v>15820</v>
      </c>
      <c r="F77" s="190" t="s">
        <v>655</v>
      </c>
      <c r="G77" s="2">
        <f t="shared" si="0"/>
        <v>7910</v>
      </c>
      <c r="H77" s="2"/>
      <c r="I77" s="2"/>
      <c r="J77" s="2"/>
      <c r="K77" s="2"/>
    </row>
    <row r="78" ht="28.5" customHeight="1" spans="1:11">
      <c r="A78" s="19">
        <v>85</v>
      </c>
      <c r="B78" s="37" t="s">
        <v>656</v>
      </c>
      <c r="C78" s="38" t="s">
        <v>61</v>
      </c>
      <c r="D78" s="19">
        <v>12000</v>
      </c>
      <c r="E78" s="38">
        <v>11925</v>
      </c>
      <c r="F78" s="190" t="s">
        <v>657</v>
      </c>
      <c r="G78" s="2">
        <f t="shared" si="0"/>
        <v>5963</v>
      </c>
      <c r="H78" s="2"/>
      <c r="I78" s="2"/>
      <c r="J78" s="2"/>
      <c r="K78" s="2"/>
    </row>
    <row r="79" ht="28.5" customHeight="1" spans="1:11">
      <c r="A79" s="19">
        <v>88</v>
      </c>
      <c r="B79" s="37" t="s">
        <v>662</v>
      </c>
      <c r="C79" s="38" t="s">
        <v>102</v>
      </c>
      <c r="D79" s="19">
        <v>65000</v>
      </c>
      <c r="E79" s="38">
        <v>64725</v>
      </c>
      <c r="F79" s="190" t="s">
        <v>663</v>
      </c>
      <c r="G79" s="2">
        <f t="shared" si="0"/>
        <v>32363</v>
      </c>
      <c r="H79" s="2"/>
      <c r="I79" s="2"/>
      <c r="J79" s="2"/>
      <c r="K79" s="2"/>
    </row>
    <row r="80" ht="28.5" customHeight="1" spans="1:11">
      <c r="A80" s="19">
        <v>89</v>
      </c>
      <c r="B80" s="37" t="s">
        <v>664</v>
      </c>
      <c r="C80" s="38" t="s">
        <v>82</v>
      </c>
      <c r="D80" s="19">
        <v>35000</v>
      </c>
      <c r="E80" s="38">
        <v>34725</v>
      </c>
      <c r="F80" s="190" t="s">
        <v>665</v>
      </c>
      <c r="G80" s="2">
        <f t="shared" si="0"/>
        <v>17363</v>
      </c>
      <c r="H80" s="2"/>
      <c r="I80" s="2"/>
      <c r="J80" s="2"/>
      <c r="K80" s="2"/>
    </row>
    <row r="81" ht="28.5" customHeight="1" spans="1:11">
      <c r="A81" s="19">
        <v>90</v>
      </c>
      <c r="B81" s="37" t="s">
        <v>666</v>
      </c>
      <c r="C81" s="38" t="s">
        <v>82</v>
      </c>
      <c r="D81" s="19">
        <v>45000</v>
      </c>
      <c r="E81" s="38">
        <v>44725</v>
      </c>
      <c r="F81" s="190" t="s">
        <v>667</v>
      </c>
      <c r="G81" s="2">
        <f t="shared" si="0"/>
        <v>22363</v>
      </c>
      <c r="H81" s="2"/>
      <c r="I81" s="2"/>
      <c r="J81" s="2"/>
      <c r="K81" s="2"/>
    </row>
    <row r="82" ht="28.5" customHeight="1" spans="1:11">
      <c r="A82" s="19">
        <v>91</v>
      </c>
      <c r="B82" s="37" t="s">
        <v>668</v>
      </c>
      <c r="C82" s="38" t="s">
        <v>82</v>
      </c>
      <c r="D82" s="19">
        <v>35000</v>
      </c>
      <c r="E82" s="38">
        <v>34725</v>
      </c>
      <c r="F82" s="190" t="s">
        <v>669</v>
      </c>
      <c r="G82" s="2">
        <f t="shared" si="0"/>
        <v>17363</v>
      </c>
      <c r="H82" s="2"/>
      <c r="I82" s="2"/>
      <c r="J82" s="2"/>
      <c r="K82" s="2"/>
    </row>
    <row r="83" ht="28.5" customHeight="1" spans="1:11">
      <c r="A83" s="19">
        <v>94</v>
      </c>
      <c r="B83" s="37" t="s">
        <v>674</v>
      </c>
      <c r="C83" s="38" t="s">
        <v>82</v>
      </c>
      <c r="D83" s="19">
        <v>50000</v>
      </c>
      <c r="E83" s="38">
        <v>49725</v>
      </c>
      <c r="F83" s="190" t="s">
        <v>675</v>
      </c>
      <c r="G83" s="2">
        <f t="shared" si="0"/>
        <v>24863</v>
      </c>
      <c r="H83" s="2"/>
      <c r="I83" s="2"/>
      <c r="J83" s="2"/>
      <c r="K83" s="2"/>
    </row>
    <row r="84" ht="28.5" customHeight="1" spans="1:11">
      <c r="A84" s="19">
        <v>95</v>
      </c>
      <c r="B84" s="37" t="s">
        <v>676</v>
      </c>
      <c r="C84" s="38" t="s">
        <v>43</v>
      </c>
      <c r="D84" s="19">
        <v>75085</v>
      </c>
      <c r="E84" s="38">
        <v>74810</v>
      </c>
      <c r="F84" s="190" t="s">
        <v>326</v>
      </c>
      <c r="G84" s="2">
        <f t="shared" si="0"/>
        <v>37405</v>
      </c>
      <c r="H84" s="2"/>
      <c r="I84" s="2"/>
      <c r="J84" s="2"/>
      <c r="K84" s="2"/>
    </row>
    <row r="85" ht="28.5" customHeight="1" spans="1:11">
      <c r="A85" s="19">
        <v>96</v>
      </c>
      <c r="B85" s="37" t="s">
        <v>677</v>
      </c>
      <c r="C85" s="38" t="s">
        <v>678</v>
      </c>
      <c r="D85" s="19">
        <v>35000</v>
      </c>
      <c r="E85" s="38">
        <v>34725</v>
      </c>
      <c r="F85" s="190" t="s">
        <v>679</v>
      </c>
      <c r="G85" s="2">
        <f t="shared" si="0"/>
        <v>17363</v>
      </c>
      <c r="H85" s="2"/>
      <c r="I85" s="2"/>
      <c r="J85" s="2"/>
      <c r="K85" s="2"/>
    </row>
    <row r="86" ht="28.5" customHeight="1" spans="1:11">
      <c r="A86" s="19">
        <v>97</v>
      </c>
      <c r="B86" s="37" t="s">
        <v>680</v>
      </c>
      <c r="C86" s="38" t="s">
        <v>61</v>
      </c>
      <c r="D86" s="19">
        <v>20000</v>
      </c>
      <c r="E86" s="38">
        <v>19775</v>
      </c>
      <c r="F86" s="190" t="s">
        <v>681</v>
      </c>
      <c r="G86" s="2">
        <f t="shared" si="0"/>
        <v>9888</v>
      </c>
      <c r="H86" s="2"/>
      <c r="I86" s="2"/>
      <c r="J86" s="2"/>
      <c r="K86" s="2"/>
    </row>
    <row r="87" ht="28.5" customHeight="1" spans="1:11">
      <c r="A87" s="19">
        <v>100</v>
      </c>
      <c r="B87" s="37" t="s">
        <v>349</v>
      </c>
      <c r="C87" s="38" t="s">
        <v>686</v>
      </c>
      <c r="D87" s="38">
        <v>74994</v>
      </c>
      <c r="E87" s="38">
        <v>71119</v>
      </c>
      <c r="F87" s="190" t="s">
        <v>687</v>
      </c>
      <c r="G87" s="2">
        <f t="shared" si="0"/>
        <v>35560</v>
      </c>
      <c r="H87" s="2"/>
      <c r="I87" s="2"/>
      <c r="J87" s="2"/>
      <c r="K87" s="2"/>
    </row>
    <row r="88" ht="28.5" customHeight="1" spans="1:11">
      <c r="A88" s="19">
        <v>101</v>
      </c>
      <c r="B88" s="37" t="s">
        <v>355</v>
      </c>
      <c r="C88" s="38" t="s">
        <v>74</v>
      </c>
      <c r="D88" s="19">
        <v>32905</v>
      </c>
      <c r="E88" s="38">
        <v>32630</v>
      </c>
      <c r="F88" s="190" t="s">
        <v>356</v>
      </c>
      <c r="G88" s="2">
        <f t="shared" si="0"/>
        <v>16315</v>
      </c>
      <c r="H88" s="2"/>
      <c r="I88" s="2"/>
      <c r="J88" s="2"/>
      <c r="K88" s="2"/>
    </row>
    <row r="89" ht="28.5" customHeight="1" spans="1:11">
      <c r="A89" s="19">
        <v>102</v>
      </c>
      <c r="B89" s="37" t="s">
        <v>688</v>
      </c>
      <c r="C89" s="38" t="s">
        <v>74</v>
      </c>
      <c r="D89" s="19">
        <v>32905</v>
      </c>
      <c r="E89" s="38">
        <v>32630</v>
      </c>
      <c r="F89" s="190" t="s">
        <v>689</v>
      </c>
      <c r="G89" s="2">
        <f t="shared" si="0"/>
        <v>16315</v>
      </c>
      <c r="H89" s="2"/>
      <c r="I89" s="2"/>
      <c r="J89" s="2"/>
      <c r="K89" s="2"/>
    </row>
    <row r="90" ht="28.5" customHeight="1" spans="1:11">
      <c r="A90" s="19">
        <v>103</v>
      </c>
      <c r="B90" s="37" t="s">
        <v>690</v>
      </c>
      <c r="C90" s="38" t="s">
        <v>61</v>
      </c>
      <c r="D90" s="19">
        <v>50000</v>
      </c>
      <c r="E90" s="38">
        <v>49725</v>
      </c>
      <c r="F90" s="190" t="s">
        <v>691</v>
      </c>
      <c r="G90" s="2">
        <f t="shared" si="0"/>
        <v>24863</v>
      </c>
      <c r="H90" s="2"/>
      <c r="I90" s="2"/>
      <c r="J90" s="2"/>
      <c r="K90" s="2"/>
    </row>
    <row r="91" ht="28.5" customHeight="1" spans="1:11">
      <c r="A91" s="19">
        <v>104</v>
      </c>
      <c r="B91" s="37" t="s">
        <v>692</v>
      </c>
      <c r="C91" s="38" t="s">
        <v>61</v>
      </c>
      <c r="D91" s="19">
        <v>35000</v>
      </c>
      <c r="E91" s="38">
        <v>34725</v>
      </c>
      <c r="F91" s="190" t="s">
        <v>693</v>
      </c>
      <c r="G91" s="2">
        <f t="shared" si="0"/>
        <v>17363</v>
      </c>
      <c r="H91" s="2"/>
      <c r="I91" s="2"/>
      <c r="J91" s="2"/>
      <c r="K91" s="2"/>
    </row>
    <row r="92" ht="28.5" customHeight="1" spans="1:11">
      <c r="A92" s="19">
        <v>105</v>
      </c>
      <c r="B92" s="37" t="s">
        <v>359</v>
      </c>
      <c r="C92" s="38" t="s">
        <v>61</v>
      </c>
      <c r="D92" s="19">
        <v>23460</v>
      </c>
      <c r="E92" s="38">
        <v>19585</v>
      </c>
      <c r="F92" s="190" t="s">
        <v>360</v>
      </c>
      <c r="G92" s="2">
        <f t="shared" si="0"/>
        <v>9793</v>
      </c>
      <c r="H92" s="2"/>
      <c r="I92" s="2"/>
      <c r="J92" s="2"/>
      <c r="K92" s="2"/>
    </row>
    <row r="93" ht="28.5" customHeight="1" spans="1:11">
      <c r="A93" s="19">
        <v>106</v>
      </c>
      <c r="B93" s="37" t="s">
        <v>694</v>
      </c>
      <c r="C93" s="38" t="s">
        <v>61</v>
      </c>
      <c r="D93" s="19">
        <v>35000</v>
      </c>
      <c r="E93" s="38">
        <v>34725</v>
      </c>
      <c r="F93" s="190" t="s">
        <v>695</v>
      </c>
      <c r="G93" s="2">
        <f t="shared" si="0"/>
        <v>17363</v>
      </c>
      <c r="H93" s="2"/>
      <c r="I93" s="2"/>
      <c r="J93" s="2"/>
      <c r="K93" s="2"/>
    </row>
    <row r="94" ht="28.5" customHeight="1" spans="1:11">
      <c r="A94" s="19">
        <v>107</v>
      </c>
      <c r="B94" s="37" t="s">
        <v>365</v>
      </c>
      <c r="C94" s="38" t="s">
        <v>696</v>
      </c>
      <c r="D94" s="38">
        <v>110277</v>
      </c>
      <c r="E94" s="38">
        <v>106402</v>
      </c>
      <c r="F94" s="190" t="s">
        <v>367</v>
      </c>
      <c r="G94" s="2">
        <f t="shared" si="0"/>
        <v>53201</v>
      </c>
      <c r="H94" s="2"/>
      <c r="I94" s="2"/>
      <c r="J94" s="2"/>
      <c r="K94" s="2"/>
    </row>
    <row r="95" ht="28.5" customHeight="1" spans="1:11">
      <c r="A95" s="19">
        <v>108</v>
      </c>
      <c r="B95" s="37" t="s">
        <v>697</v>
      </c>
      <c r="C95" s="38" t="s">
        <v>698</v>
      </c>
      <c r="D95" s="19">
        <v>54103</v>
      </c>
      <c r="E95" s="38">
        <v>53962</v>
      </c>
      <c r="F95" s="190" t="s">
        <v>370</v>
      </c>
      <c r="G95" s="2">
        <f t="shared" si="0"/>
        <v>26981</v>
      </c>
      <c r="H95" s="2"/>
      <c r="I95" s="2"/>
      <c r="J95" s="2"/>
      <c r="K95" s="2"/>
    </row>
    <row r="96" ht="28.5" customHeight="1" spans="1:11">
      <c r="A96" s="19">
        <v>109</v>
      </c>
      <c r="B96" s="37" t="s">
        <v>699</v>
      </c>
      <c r="C96" s="38" t="s">
        <v>74</v>
      </c>
      <c r="D96" s="19">
        <v>42275</v>
      </c>
      <c r="E96" s="38">
        <v>42000</v>
      </c>
      <c r="F96" s="190" t="s">
        <v>700</v>
      </c>
      <c r="G96" s="2">
        <f t="shared" si="0"/>
        <v>21000</v>
      </c>
      <c r="H96" s="2"/>
      <c r="I96" s="2"/>
      <c r="J96" s="2"/>
      <c r="K96" s="2"/>
    </row>
    <row r="97" ht="28.5" customHeight="1" spans="1:11">
      <c r="A97" s="19">
        <v>110</v>
      </c>
      <c r="B97" s="37" t="s">
        <v>701</v>
      </c>
      <c r="C97" s="38" t="s">
        <v>702</v>
      </c>
      <c r="D97" s="19">
        <v>75085</v>
      </c>
      <c r="E97" s="38">
        <v>71210</v>
      </c>
      <c r="F97" s="190" t="s">
        <v>703</v>
      </c>
      <c r="G97" s="2">
        <f t="shared" si="0"/>
        <v>35605</v>
      </c>
      <c r="H97" s="2"/>
      <c r="I97" s="2"/>
      <c r="J97" s="2"/>
      <c r="K97" s="2"/>
    </row>
    <row r="98" ht="28.5" customHeight="1" spans="1:11">
      <c r="A98" s="19">
        <v>111</v>
      </c>
      <c r="B98" s="37" t="s">
        <v>704</v>
      </c>
      <c r="C98" s="38" t="s">
        <v>705</v>
      </c>
      <c r="D98" s="19">
        <v>170000</v>
      </c>
      <c r="E98" s="38">
        <v>169725</v>
      </c>
      <c r="F98" s="190" t="s">
        <v>706</v>
      </c>
      <c r="G98" s="2">
        <f t="shared" si="0"/>
        <v>84863</v>
      </c>
      <c r="H98" s="2"/>
      <c r="I98" s="2"/>
      <c r="J98" s="2"/>
      <c r="K98" s="2"/>
    </row>
    <row r="99" ht="28.5" customHeight="1" spans="1:11">
      <c r="A99" s="19">
        <v>112</v>
      </c>
      <c r="B99" s="37" t="s">
        <v>707</v>
      </c>
      <c r="C99" s="38" t="s">
        <v>61</v>
      </c>
      <c r="D99" s="19">
        <v>24460</v>
      </c>
      <c r="E99" s="38">
        <v>24185</v>
      </c>
      <c r="F99" s="190" t="s">
        <v>708</v>
      </c>
      <c r="G99" s="2">
        <f t="shared" si="0"/>
        <v>12093</v>
      </c>
      <c r="H99" s="2"/>
      <c r="I99" s="2"/>
      <c r="J99" s="2"/>
      <c r="K99" s="2"/>
    </row>
    <row r="100" ht="28.5" customHeight="1" spans="1:11">
      <c r="A100" s="19">
        <v>113</v>
      </c>
      <c r="B100" s="21" t="s">
        <v>373</v>
      </c>
      <c r="C100" s="38" t="s">
        <v>61</v>
      </c>
      <c r="D100" s="19">
        <v>23460</v>
      </c>
      <c r="E100" s="38">
        <v>23185</v>
      </c>
      <c r="F100" s="190" t="s">
        <v>374</v>
      </c>
      <c r="G100" s="2">
        <f t="shared" si="0"/>
        <v>11593</v>
      </c>
      <c r="H100" s="2"/>
      <c r="I100" s="2"/>
      <c r="J100" s="2"/>
      <c r="K100" s="2"/>
    </row>
    <row r="101" ht="28.5" customHeight="1" spans="1:11">
      <c r="A101" s="19">
        <v>114</v>
      </c>
      <c r="B101" s="37" t="s">
        <v>709</v>
      </c>
      <c r="C101" s="38" t="s">
        <v>61</v>
      </c>
      <c r="D101" s="19">
        <v>39632</v>
      </c>
      <c r="E101" s="38">
        <v>40020</v>
      </c>
      <c r="F101" s="190" t="s">
        <v>710</v>
      </c>
      <c r="G101" s="2">
        <f t="shared" si="0"/>
        <v>20010</v>
      </c>
      <c r="H101" s="2"/>
      <c r="I101" s="2"/>
      <c r="J101" s="2"/>
      <c r="K101" s="2"/>
    </row>
    <row r="102" ht="28.5" customHeight="1" spans="1:11">
      <c r="A102" s="19">
        <v>115</v>
      </c>
      <c r="B102" s="37" t="s">
        <v>375</v>
      </c>
      <c r="C102" s="38" t="s">
        <v>61</v>
      </c>
      <c r="D102" s="19">
        <v>20460</v>
      </c>
      <c r="E102" s="38">
        <v>20185</v>
      </c>
      <c r="F102" s="190" t="s">
        <v>376</v>
      </c>
      <c r="G102" s="2">
        <f t="shared" si="0"/>
        <v>10093</v>
      </c>
      <c r="H102" s="2"/>
      <c r="I102" s="2"/>
      <c r="J102" s="2"/>
      <c r="K102" s="2"/>
    </row>
    <row r="103" ht="28.5" customHeight="1" spans="1:11">
      <c r="A103" s="19">
        <v>116</v>
      </c>
      <c r="B103" s="37" t="s">
        <v>377</v>
      </c>
      <c r="C103" s="38" t="s">
        <v>61</v>
      </c>
      <c r="D103" s="19">
        <v>18260</v>
      </c>
      <c r="E103" s="38">
        <v>18035</v>
      </c>
      <c r="F103" s="190" t="s">
        <v>378</v>
      </c>
      <c r="G103" s="2">
        <f t="shared" si="0"/>
        <v>9018</v>
      </c>
      <c r="H103" s="2"/>
      <c r="I103" s="2"/>
      <c r="J103" s="2"/>
      <c r="K103" s="2"/>
    </row>
    <row r="104" ht="28.5" customHeight="1" spans="1:11">
      <c r="A104" s="19">
        <v>117</v>
      </c>
      <c r="B104" s="37" t="s">
        <v>711</v>
      </c>
      <c r="C104" s="38" t="s">
        <v>61</v>
      </c>
      <c r="D104" s="19">
        <v>25000</v>
      </c>
      <c r="E104" s="19">
        <v>24725</v>
      </c>
      <c r="F104" s="190" t="s">
        <v>712</v>
      </c>
      <c r="G104" s="2">
        <f t="shared" si="0"/>
        <v>12363</v>
      </c>
      <c r="H104" s="2"/>
      <c r="I104" s="2"/>
      <c r="J104" s="2"/>
      <c r="K104" s="2"/>
    </row>
    <row r="105" ht="28.5" customHeight="1" spans="1:11">
      <c r="A105" s="19">
        <v>118</v>
      </c>
      <c r="B105" s="37" t="s">
        <v>713</v>
      </c>
      <c r="C105" s="38" t="s">
        <v>61</v>
      </c>
      <c r="D105" s="19">
        <v>25000</v>
      </c>
      <c r="E105" s="19">
        <v>24725</v>
      </c>
      <c r="F105" s="190" t="s">
        <v>714</v>
      </c>
      <c r="G105" s="2">
        <f t="shared" si="0"/>
        <v>12363</v>
      </c>
      <c r="H105" s="2"/>
      <c r="I105" s="2"/>
      <c r="J105" s="2"/>
      <c r="K105" s="2"/>
    </row>
    <row r="106" ht="28.5" customHeight="1" spans="1:11">
      <c r="A106" s="19">
        <v>119</v>
      </c>
      <c r="B106" s="37" t="s">
        <v>715</v>
      </c>
      <c r="C106" s="38" t="s">
        <v>646</v>
      </c>
      <c r="D106" s="19">
        <v>52000</v>
      </c>
      <c r="E106" s="19">
        <v>51725</v>
      </c>
      <c r="F106" s="190" t="s">
        <v>716</v>
      </c>
      <c r="G106" s="2">
        <f t="shared" si="0"/>
        <v>25863</v>
      </c>
      <c r="H106" s="2"/>
      <c r="I106" s="2"/>
      <c r="J106" s="2"/>
      <c r="K106" s="2"/>
    </row>
    <row r="107" ht="28.5" customHeight="1" spans="1:11">
      <c r="A107" s="19">
        <v>120</v>
      </c>
      <c r="B107" s="37" t="s">
        <v>717</v>
      </c>
      <c r="C107" s="38" t="s">
        <v>61</v>
      </c>
      <c r="D107" s="19">
        <v>22000</v>
      </c>
      <c r="E107" s="38">
        <v>21770</v>
      </c>
      <c r="F107" s="190" t="s">
        <v>718</v>
      </c>
      <c r="G107" s="2">
        <f t="shared" si="0"/>
        <v>10885</v>
      </c>
      <c r="H107" s="2"/>
      <c r="I107" s="2"/>
      <c r="J107" s="2"/>
      <c r="K107" s="2"/>
    </row>
    <row r="108" ht="28.5" customHeight="1" spans="1:11">
      <c r="A108" s="19">
        <v>122</v>
      </c>
      <c r="B108" s="37" t="s">
        <v>412</v>
      </c>
      <c r="C108" s="38" t="s">
        <v>74</v>
      </c>
      <c r="D108" s="19">
        <v>51516</v>
      </c>
      <c r="E108" s="38">
        <v>51241</v>
      </c>
      <c r="F108" s="190" t="s">
        <v>413</v>
      </c>
      <c r="G108" s="2">
        <f t="shared" si="0"/>
        <v>25621</v>
      </c>
      <c r="H108" s="2"/>
      <c r="I108" s="2"/>
      <c r="J108" s="2"/>
      <c r="K108" s="2"/>
    </row>
    <row r="109" ht="28.5" customHeight="1" spans="1:11">
      <c r="A109" s="19">
        <v>123</v>
      </c>
      <c r="B109" s="37" t="s">
        <v>398</v>
      </c>
      <c r="C109" s="38" t="s">
        <v>721</v>
      </c>
      <c r="D109" s="19">
        <v>62759</v>
      </c>
      <c r="E109" s="38">
        <v>58884</v>
      </c>
      <c r="F109" s="190" t="s">
        <v>400</v>
      </c>
      <c r="G109" s="2">
        <f t="shared" si="0"/>
        <v>29442</v>
      </c>
      <c r="H109" s="2"/>
      <c r="I109" s="2"/>
      <c r="J109" s="2"/>
      <c r="K109" s="2"/>
    </row>
    <row r="110" ht="28.5" customHeight="1" spans="1:11">
      <c r="A110" s="19">
        <v>124</v>
      </c>
      <c r="B110" s="37" t="s">
        <v>424</v>
      </c>
      <c r="C110" s="38" t="s">
        <v>74</v>
      </c>
      <c r="D110" s="38">
        <v>30000</v>
      </c>
      <c r="E110" s="38">
        <v>26125</v>
      </c>
      <c r="F110" s="190" t="s">
        <v>425</v>
      </c>
      <c r="G110" s="2">
        <f t="shared" si="0"/>
        <v>13063</v>
      </c>
      <c r="H110" s="2"/>
      <c r="I110" s="2"/>
      <c r="J110" s="2"/>
      <c r="K110" s="2"/>
    </row>
    <row r="111" ht="28.5" customHeight="1" spans="1:11">
      <c r="A111" s="19">
        <v>125</v>
      </c>
      <c r="B111" s="37" t="s">
        <v>722</v>
      </c>
      <c r="C111" s="38" t="s">
        <v>61</v>
      </c>
      <c r="D111" s="19">
        <v>35000</v>
      </c>
      <c r="E111" s="38">
        <v>34725</v>
      </c>
      <c r="F111" s="190" t="s">
        <v>723</v>
      </c>
      <c r="G111" s="2">
        <f t="shared" si="0"/>
        <v>17363</v>
      </c>
      <c r="H111" s="2"/>
      <c r="I111" s="2"/>
      <c r="J111" s="2"/>
      <c r="K111" s="2"/>
    </row>
    <row r="112" ht="28.5" customHeight="1" spans="1:11">
      <c r="A112" s="19">
        <v>126</v>
      </c>
      <c r="B112" s="37" t="s">
        <v>724</v>
      </c>
      <c r="C112" s="38" t="s">
        <v>102</v>
      </c>
      <c r="D112" s="19">
        <v>50000</v>
      </c>
      <c r="E112" s="38">
        <v>49725</v>
      </c>
      <c r="F112" s="190" t="s">
        <v>725</v>
      </c>
      <c r="G112" s="2">
        <f t="shared" si="0"/>
        <v>24863</v>
      </c>
      <c r="H112" s="2"/>
      <c r="I112" s="2"/>
      <c r="J112" s="2"/>
      <c r="K112" s="2"/>
    </row>
    <row r="113" ht="28.5" customHeight="1" spans="1:11">
      <c r="A113" s="19">
        <v>127</v>
      </c>
      <c r="B113" s="37" t="s">
        <v>726</v>
      </c>
      <c r="C113" s="38" t="s">
        <v>61</v>
      </c>
      <c r="D113" s="38">
        <v>30000</v>
      </c>
      <c r="E113" s="38">
        <v>29725</v>
      </c>
      <c r="F113" s="190" t="s">
        <v>727</v>
      </c>
      <c r="G113" s="2">
        <f t="shared" si="0"/>
        <v>14863</v>
      </c>
      <c r="H113" s="2"/>
      <c r="I113" s="2"/>
      <c r="J113" s="2"/>
      <c r="K113" s="2"/>
    </row>
    <row r="114" ht="28.5" customHeight="1" spans="1:11">
      <c r="A114" s="19">
        <v>128</v>
      </c>
      <c r="B114" s="37" t="s">
        <v>728</v>
      </c>
      <c r="C114" s="38" t="s">
        <v>61</v>
      </c>
      <c r="D114" s="19">
        <v>24460</v>
      </c>
      <c r="E114" s="38">
        <v>24185</v>
      </c>
      <c r="F114" s="190" t="s">
        <v>729</v>
      </c>
      <c r="G114" s="2">
        <f t="shared" si="0"/>
        <v>12093</v>
      </c>
      <c r="H114" s="2"/>
      <c r="I114" s="2"/>
      <c r="J114" s="2"/>
      <c r="K114" s="2"/>
    </row>
    <row r="115" ht="28.5" customHeight="1" spans="1:11">
      <c r="A115" s="19">
        <v>129</v>
      </c>
      <c r="B115" s="37" t="s">
        <v>434</v>
      </c>
      <c r="C115" s="38" t="s">
        <v>61</v>
      </c>
      <c r="D115" s="38">
        <v>23000</v>
      </c>
      <c r="E115" s="38">
        <v>22725</v>
      </c>
      <c r="F115" s="190" t="s">
        <v>435</v>
      </c>
      <c r="G115" s="2">
        <f t="shared" si="0"/>
        <v>11363</v>
      </c>
      <c r="H115" s="2"/>
      <c r="I115" s="2"/>
      <c r="J115" s="2"/>
      <c r="K115" s="2"/>
    </row>
    <row r="116" ht="28.5" customHeight="1" spans="1:11">
      <c r="A116" s="19">
        <v>130</v>
      </c>
      <c r="B116" s="37" t="s">
        <v>730</v>
      </c>
      <c r="C116" s="38" t="s">
        <v>61</v>
      </c>
      <c r="D116" s="19">
        <v>32460</v>
      </c>
      <c r="E116" s="38">
        <v>32185</v>
      </c>
      <c r="F116" s="190" t="s">
        <v>423</v>
      </c>
      <c r="G116" s="2">
        <f t="shared" si="0"/>
        <v>16093</v>
      </c>
      <c r="H116" s="2"/>
      <c r="I116" s="2"/>
      <c r="J116" s="2"/>
      <c r="K116" s="2"/>
    </row>
    <row r="117" ht="28.5" customHeight="1" spans="1:11">
      <c r="A117" s="19">
        <v>131</v>
      </c>
      <c r="B117" s="37" t="s">
        <v>432</v>
      </c>
      <c r="C117" s="38" t="s">
        <v>61</v>
      </c>
      <c r="D117" s="38">
        <v>22000</v>
      </c>
      <c r="E117" s="38">
        <v>21725</v>
      </c>
      <c r="F117" s="190" t="s">
        <v>731</v>
      </c>
      <c r="G117" s="2">
        <f t="shared" si="0"/>
        <v>10863</v>
      </c>
      <c r="H117" s="2"/>
      <c r="I117" s="2"/>
      <c r="J117" s="2"/>
      <c r="K117" s="2"/>
    </row>
    <row r="118" ht="28.5" customHeight="1" spans="1:11">
      <c r="A118" s="19">
        <v>132</v>
      </c>
      <c r="B118" s="37" t="s">
        <v>732</v>
      </c>
      <c r="C118" s="38" t="s">
        <v>61</v>
      </c>
      <c r="D118" s="19">
        <v>35000</v>
      </c>
      <c r="E118" s="38">
        <v>34725</v>
      </c>
      <c r="F118" s="190" t="s">
        <v>411</v>
      </c>
      <c r="G118" s="2">
        <f t="shared" si="0"/>
        <v>17363</v>
      </c>
      <c r="H118" s="2"/>
      <c r="I118" s="2"/>
      <c r="J118" s="2"/>
      <c r="K118" s="2"/>
    </row>
    <row r="119" ht="28.5" customHeight="1" spans="1:11">
      <c r="A119" s="19">
        <v>133</v>
      </c>
      <c r="B119" s="37" t="s">
        <v>733</v>
      </c>
      <c r="C119" s="38" t="s">
        <v>61</v>
      </c>
      <c r="D119" s="38">
        <v>30000</v>
      </c>
      <c r="E119" s="38">
        <v>29725</v>
      </c>
      <c r="F119" s="190" t="s">
        <v>403</v>
      </c>
      <c r="G119" s="2">
        <f t="shared" si="0"/>
        <v>14863</v>
      </c>
      <c r="H119" s="2"/>
      <c r="I119" s="2"/>
      <c r="J119" s="2"/>
      <c r="K119" s="2"/>
    </row>
    <row r="120" ht="28.5" customHeight="1" spans="1:11">
      <c r="A120" s="19">
        <v>134</v>
      </c>
      <c r="B120" s="37" t="s">
        <v>734</v>
      </c>
      <c r="C120" s="38" t="s">
        <v>61</v>
      </c>
      <c r="D120" s="38">
        <v>17500</v>
      </c>
      <c r="E120" s="38">
        <v>17275</v>
      </c>
      <c r="F120" s="190" t="s">
        <v>735</v>
      </c>
      <c r="G120" s="2">
        <f t="shared" si="0"/>
        <v>8638</v>
      </c>
      <c r="H120" s="2"/>
      <c r="I120" s="2"/>
      <c r="J120" s="2"/>
      <c r="K120" s="2"/>
    </row>
    <row r="121" ht="28.5" customHeight="1" spans="1:11">
      <c r="A121" s="19">
        <v>135</v>
      </c>
      <c r="B121" s="37" t="s">
        <v>736</v>
      </c>
      <c r="C121" s="38" t="s">
        <v>61</v>
      </c>
      <c r="D121" s="38">
        <v>18000</v>
      </c>
      <c r="E121" s="38">
        <v>17775</v>
      </c>
      <c r="F121" s="190" t="s">
        <v>737</v>
      </c>
      <c r="G121" s="2">
        <f t="shared" si="0"/>
        <v>8888</v>
      </c>
      <c r="H121" s="2"/>
      <c r="I121" s="2"/>
      <c r="J121" s="2"/>
      <c r="K121" s="2"/>
    </row>
    <row r="122" ht="28.5" customHeight="1" spans="1:11">
      <c r="A122" s="19">
        <v>136</v>
      </c>
      <c r="B122" s="37" t="s">
        <v>738</v>
      </c>
      <c r="C122" s="38" t="s">
        <v>61</v>
      </c>
      <c r="D122" s="38">
        <v>20000</v>
      </c>
      <c r="E122" s="38">
        <v>19775</v>
      </c>
      <c r="F122" s="190" t="s">
        <v>739</v>
      </c>
      <c r="G122" s="2">
        <f t="shared" si="0"/>
        <v>9888</v>
      </c>
      <c r="H122" s="2"/>
      <c r="I122" s="2"/>
      <c r="J122" s="2"/>
      <c r="K122" s="2"/>
    </row>
    <row r="123" ht="28.5" customHeight="1" spans="1:11">
      <c r="A123" s="19">
        <v>137</v>
      </c>
      <c r="B123" s="37" t="s">
        <v>740</v>
      </c>
      <c r="C123" s="38" t="s">
        <v>61</v>
      </c>
      <c r="D123" s="38">
        <v>18000</v>
      </c>
      <c r="E123" s="38">
        <v>17775</v>
      </c>
      <c r="F123" s="190" t="s">
        <v>741</v>
      </c>
      <c r="G123" s="2">
        <f t="shared" si="0"/>
        <v>8888</v>
      </c>
      <c r="H123" s="2"/>
      <c r="I123" s="2"/>
      <c r="J123" s="2"/>
      <c r="K123" s="2"/>
    </row>
    <row r="124" ht="28.5" customHeight="1" spans="1:11">
      <c r="A124" s="19">
        <v>138</v>
      </c>
      <c r="B124" s="37" t="s">
        <v>742</v>
      </c>
      <c r="C124" s="38" t="s">
        <v>61</v>
      </c>
      <c r="D124" s="38">
        <v>29000</v>
      </c>
      <c r="E124" s="38">
        <v>28725</v>
      </c>
      <c r="F124" s="190" t="s">
        <v>743</v>
      </c>
      <c r="G124" s="2">
        <f t="shared" si="0"/>
        <v>14363</v>
      </c>
      <c r="H124" s="2"/>
      <c r="I124" s="2"/>
      <c r="J124" s="2"/>
      <c r="K124" s="2"/>
    </row>
    <row r="125" ht="28.5" customHeight="1" spans="1:11">
      <c r="A125" s="19">
        <v>139</v>
      </c>
      <c r="B125" s="37" t="s">
        <v>744</v>
      </c>
      <c r="C125" s="38" t="s">
        <v>61</v>
      </c>
      <c r="D125" s="38">
        <v>18000</v>
      </c>
      <c r="E125" s="38">
        <v>17775</v>
      </c>
      <c r="F125" s="190" t="s">
        <v>745</v>
      </c>
      <c r="G125" s="2">
        <f t="shared" si="0"/>
        <v>8888</v>
      </c>
      <c r="H125" s="2"/>
      <c r="I125" s="2"/>
      <c r="J125" s="2"/>
      <c r="K125" s="2"/>
    </row>
    <row r="126" ht="28.5" customHeight="1" spans="1:11">
      <c r="A126" s="19">
        <v>140</v>
      </c>
      <c r="B126" s="37" t="s">
        <v>746</v>
      </c>
      <c r="C126" s="38" t="s">
        <v>61</v>
      </c>
      <c r="D126" s="38">
        <v>18000</v>
      </c>
      <c r="E126" s="38">
        <v>17775</v>
      </c>
      <c r="F126" s="190" t="s">
        <v>747</v>
      </c>
      <c r="G126" s="2">
        <f t="shared" si="0"/>
        <v>8888</v>
      </c>
      <c r="H126" s="2"/>
      <c r="I126" s="2"/>
      <c r="J126" s="2"/>
      <c r="K126" s="2"/>
    </row>
    <row r="127" ht="28.5" customHeight="1" spans="1:11">
      <c r="A127" s="19">
        <v>141</v>
      </c>
      <c r="B127" s="37" t="s">
        <v>748</v>
      </c>
      <c r="C127" s="38" t="s">
        <v>61</v>
      </c>
      <c r="D127" s="38">
        <v>26000</v>
      </c>
      <c r="E127" s="38">
        <v>25725</v>
      </c>
      <c r="F127" s="190" t="s">
        <v>749</v>
      </c>
      <c r="G127" s="2">
        <f t="shared" si="0"/>
        <v>12863</v>
      </c>
      <c r="H127" s="2"/>
      <c r="I127" s="2"/>
      <c r="J127" s="2"/>
      <c r="K127" s="2"/>
    </row>
    <row r="128" ht="28.5" customHeight="1" spans="1:11">
      <c r="A128" s="19">
        <v>143</v>
      </c>
      <c r="B128" s="37" t="s">
        <v>752</v>
      </c>
      <c r="C128" s="38" t="s">
        <v>61</v>
      </c>
      <c r="D128" s="38">
        <v>21000</v>
      </c>
      <c r="E128" s="38">
        <v>20725</v>
      </c>
      <c r="F128" s="190" t="s">
        <v>753</v>
      </c>
      <c r="G128" s="2">
        <f t="shared" si="0"/>
        <v>10363</v>
      </c>
      <c r="H128" s="2"/>
      <c r="I128" s="2"/>
      <c r="J128" s="2"/>
      <c r="K128" s="2"/>
    </row>
    <row r="129" ht="28.5" customHeight="1" spans="1:11">
      <c r="A129" s="19">
        <v>146</v>
      </c>
      <c r="B129" s="37" t="s">
        <v>758</v>
      </c>
      <c r="C129" s="38" t="s">
        <v>646</v>
      </c>
      <c r="D129" s="19">
        <v>52000</v>
      </c>
      <c r="E129" s="38">
        <v>51725</v>
      </c>
      <c r="F129" s="190" t="s">
        <v>759</v>
      </c>
      <c r="G129" s="2">
        <f t="shared" si="0"/>
        <v>25863</v>
      </c>
      <c r="H129" s="2"/>
      <c r="I129" s="2"/>
      <c r="J129" s="2"/>
      <c r="K129" s="2"/>
    </row>
    <row r="130" ht="28.5" customHeight="1" spans="1:11">
      <c r="A130" s="19">
        <v>147</v>
      </c>
      <c r="B130" s="37" t="s">
        <v>760</v>
      </c>
      <c r="C130" s="38" t="s">
        <v>646</v>
      </c>
      <c r="D130" s="19">
        <v>52000</v>
      </c>
      <c r="E130" s="38">
        <v>51725</v>
      </c>
      <c r="F130" s="190" t="s">
        <v>761</v>
      </c>
      <c r="G130" s="2">
        <f t="shared" si="0"/>
        <v>25863</v>
      </c>
      <c r="H130" s="2"/>
      <c r="I130" s="2"/>
      <c r="J130" s="2"/>
      <c r="K130" s="2"/>
    </row>
    <row r="131" ht="28.5" customHeight="1" spans="1:11">
      <c r="A131" s="19">
        <v>148</v>
      </c>
      <c r="B131" s="37" t="s">
        <v>762</v>
      </c>
      <c r="C131" s="38" t="s">
        <v>82</v>
      </c>
      <c r="D131" s="19">
        <v>18000</v>
      </c>
      <c r="E131" s="38">
        <v>17775</v>
      </c>
      <c r="F131" s="190" t="s">
        <v>763</v>
      </c>
      <c r="G131" s="2">
        <f t="shared" si="0"/>
        <v>8888</v>
      </c>
      <c r="H131" s="2"/>
      <c r="I131" s="2"/>
      <c r="J131" s="2"/>
      <c r="K131" s="2"/>
    </row>
    <row r="132" ht="28.5" customHeight="1" spans="1:11">
      <c r="A132" s="19">
        <v>149</v>
      </c>
      <c r="B132" s="37" t="s">
        <v>436</v>
      </c>
      <c r="C132" s="38" t="s">
        <v>82</v>
      </c>
      <c r="D132" s="19">
        <v>18000</v>
      </c>
      <c r="E132" s="38">
        <v>17775</v>
      </c>
      <c r="F132" s="190" t="s">
        <v>437</v>
      </c>
      <c r="G132" s="2">
        <f t="shared" si="0"/>
        <v>8888</v>
      </c>
      <c r="H132" s="2"/>
      <c r="I132" s="2"/>
      <c r="J132" s="2"/>
      <c r="K132" s="2"/>
    </row>
    <row r="133" ht="28.5" customHeight="1" spans="1:11">
      <c r="A133" s="19">
        <v>150</v>
      </c>
      <c r="B133" s="37" t="s">
        <v>764</v>
      </c>
      <c r="C133" s="38" t="s">
        <v>102</v>
      </c>
      <c r="D133" s="19">
        <v>30000</v>
      </c>
      <c r="E133" s="38">
        <v>29725</v>
      </c>
      <c r="F133" s="190" t="s">
        <v>765</v>
      </c>
      <c r="G133" s="2">
        <f t="shared" si="0"/>
        <v>14863</v>
      </c>
      <c r="H133" s="2"/>
      <c r="I133" s="2"/>
      <c r="J133" s="2"/>
      <c r="K133" s="2"/>
    </row>
    <row r="134" ht="28.5" customHeight="1" spans="1:11">
      <c r="A134" s="19">
        <v>151</v>
      </c>
      <c r="B134" s="37" t="s">
        <v>419</v>
      </c>
      <c r="C134" s="38" t="s">
        <v>61</v>
      </c>
      <c r="D134" s="19">
        <v>25000</v>
      </c>
      <c r="E134" s="38">
        <v>24725</v>
      </c>
      <c r="F134" s="190" t="s">
        <v>420</v>
      </c>
      <c r="G134" s="2">
        <f t="shared" si="0"/>
        <v>12363</v>
      </c>
      <c r="H134" s="2"/>
      <c r="I134" s="2"/>
      <c r="J134" s="2"/>
      <c r="K134" s="2"/>
    </row>
    <row r="135" ht="28.5" customHeight="1" spans="1:11">
      <c r="A135" s="19">
        <v>152</v>
      </c>
      <c r="B135" s="37" t="s">
        <v>497</v>
      </c>
      <c r="C135" s="38" t="s">
        <v>498</v>
      </c>
      <c r="D135" s="19">
        <v>30780</v>
      </c>
      <c r="E135" s="38">
        <v>30780</v>
      </c>
      <c r="F135" s="187" t="s">
        <v>499</v>
      </c>
      <c r="G135" s="2">
        <f t="shared" si="0"/>
        <v>15390</v>
      </c>
      <c r="H135" s="2"/>
      <c r="I135" s="2"/>
      <c r="J135" s="2"/>
      <c r="K135" s="2"/>
    </row>
    <row r="136" ht="28.5" customHeight="1" spans="1:11">
      <c r="A136" s="16"/>
      <c r="B136" s="17" t="s">
        <v>9</v>
      </c>
      <c r="C136" s="18"/>
      <c r="D136" s="18">
        <f t="shared" ref="D136:E136" si="1">SUM(D5:D135)</f>
        <v>5417060</v>
      </c>
      <c r="E136" s="18">
        <f t="shared" si="1"/>
        <v>5178042</v>
      </c>
      <c r="F136" s="18"/>
      <c r="G136" s="6">
        <f>SUM(G6:G135)</f>
        <v>2589073</v>
      </c>
      <c r="H136" s="6"/>
      <c r="I136" s="6"/>
      <c r="J136" s="6"/>
      <c r="K136" s="6"/>
    </row>
    <row r="137" ht="28.5" customHeight="1" spans="1:11">
      <c r="A137" s="19"/>
      <c r="B137" s="20"/>
      <c r="C137" s="20"/>
      <c r="D137" s="21"/>
      <c r="E137" s="19"/>
      <c r="F137" s="22"/>
      <c r="G137" s="2"/>
      <c r="H137" s="2"/>
      <c r="I137" s="2"/>
      <c r="J137" s="2"/>
      <c r="K137" s="2"/>
    </row>
    <row r="138" ht="28.5" customHeight="1" spans="1:11">
      <c r="A138" s="19"/>
      <c r="B138" s="36"/>
      <c r="C138" s="36"/>
      <c r="D138" s="16"/>
      <c r="E138" s="36"/>
      <c r="F138" s="36"/>
      <c r="G138" s="2"/>
      <c r="H138" s="2"/>
      <c r="I138" s="2"/>
      <c r="J138" s="2"/>
      <c r="K138" s="2"/>
    </row>
    <row r="139" ht="28.5" customHeight="1" spans="1:11">
      <c r="A139" s="19"/>
      <c r="B139" s="17"/>
      <c r="C139" s="18"/>
      <c r="D139" s="16"/>
      <c r="E139" s="19"/>
      <c r="F139" s="22"/>
      <c r="G139" s="2"/>
      <c r="H139" s="2"/>
      <c r="I139" s="2"/>
      <c r="J139" s="2"/>
      <c r="K139" s="2"/>
    </row>
    <row r="140" ht="28.5" customHeight="1" spans="1:11">
      <c r="A140" s="19"/>
      <c r="B140" s="17"/>
      <c r="C140" s="18"/>
      <c r="D140" s="16"/>
      <c r="E140" s="19"/>
      <c r="F140" s="22"/>
      <c r="G140" s="2"/>
      <c r="H140" s="2"/>
      <c r="I140" s="2"/>
      <c r="J140" s="2"/>
      <c r="K140" s="2"/>
    </row>
    <row r="141" ht="28.5" hidden="1" customHeight="1" spans="1:11">
      <c r="A141" s="28" t="s">
        <v>507</v>
      </c>
      <c r="G141" s="2"/>
      <c r="H141" s="2"/>
      <c r="I141" s="2"/>
      <c r="J141" s="2"/>
      <c r="K141" s="2"/>
    </row>
    <row r="142" ht="28.5" hidden="1" customHeight="1" spans="1:11">
      <c r="A142" s="28" t="s">
        <v>766</v>
      </c>
      <c r="G142" s="2"/>
      <c r="H142" s="2"/>
      <c r="I142" s="2"/>
      <c r="J142" s="2"/>
      <c r="K142" s="2"/>
    </row>
    <row r="143" ht="41.25" hidden="1" customHeight="1" spans="1:11">
      <c r="A143" s="18" t="s">
        <v>509</v>
      </c>
      <c r="B143" s="17" t="s">
        <v>3</v>
      </c>
      <c r="C143" s="18" t="s">
        <v>4</v>
      </c>
      <c r="D143" s="18" t="s">
        <v>5</v>
      </c>
      <c r="E143" s="18" t="s">
        <v>26</v>
      </c>
      <c r="F143" s="5" t="s">
        <v>27</v>
      </c>
      <c r="G143" s="2"/>
      <c r="H143" s="2"/>
      <c r="I143" s="2"/>
      <c r="J143" s="2"/>
      <c r="K143" s="2"/>
    </row>
    <row r="144" ht="28.5" customHeight="1" spans="1:11">
      <c r="A144" s="28"/>
      <c r="B144" s="29"/>
      <c r="C144" s="30"/>
      <c r="D144" s="28"/>
      <c r="E144" s="28"/>
      <c r="F144" s="31"/>
      <c r="G144" s="2"/>
      <c r="H144" s="2"/>
      <c r="I144" s="2"/>
      <c r="J144" s="2"/>
      <c r="K144" s="2"/>
    </row>
  </sheetData>
  <autoFilter xmlns:etc="http://www.wps.cn/officeDocument/2017/etCustomData" ref="A1:F136" etc:filterBottomFollowUsedRange="0">
    <extLst/>
  </autoFilter>
  <mergeCells count="4">
    <mergeCell ref="A1:F1"/>
    <mergeCell ref="A2:F2"/>
    <mergeCell ref="A141:F141"/>
    <mergeCell ref="A142:F142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507</v>
      </c>
      <c r="G1" s="2"/>
      <c r="H1" s="2"/>
      <c r="I1" s="2"/>
      <c r="J1" s="2"/>
      <c r="K1" s="2"/>
    </row>
    <row r="2" ht="22.5" customHeight="1" spans="1:11">
      <c r="A2" s="1" t="s">
        <v>508</v>
      </c>
      <c r="G2" s="2"/>
      <c r="H2" s="2"/>
      <c r="I2" s="2"/>
      <c r="J2" s="2"/>
      <c r="K2" s="2"/>
    </row>
    <row r="3" ht="28.5" customHeight="1" spans="1:11">
      <c r="A3" s="3" t="s">
        <v>509</v>
      </c>
      <c r="B3" s="4" t="s">
        <v>3</v>
      </c>
      <c r="C3" s="3" t="s">
        <v>4</v>
      </c>
      <c r="D3" s="3" t="s">
        <v>5</v>
      </c>
      <c r="E3" s="3" t="s">
        <v>26</v>
      </c>
      <c r="F3" s="5" t="s">
        <v>27</v>
      </c>
      <c r="G3" s="2"/>
      <c r="H3" s="2"/>
      <c r="I3" s="2"/>
      <c r="J3" s="2"/>
      <c r="K3" s="2"/>
    </row>
    <row r="4" ht="21.75" customHeight="1" spans="1:11">
      <c r="A4" s="6"/>
      <c r="B4" s="4" t="s">
        <v>29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23">
        <v>9</v>
      </c>
      <c r="B5" s="24" t="s">
        <v>523</v>
      </c>
      <c r="C5" s="25" t="s">
        <v>61</v>
      </c>
      <c r="D5" s="25">
        <v>40000</v>
      </c>
      <c r="E5" s="25">
        <v>39725</v>
      </c>
      <c r="F5" s="188" t="s">
        <v>524</v>
      </c>
      <c r="G5" s="27">
        <f>ROUND(E5/2,0)</f>
        <v>19863</v>
      </c>
      <c r="H5" s="27"/>
      <c r="I5" s="27"/>
      <c r="J5" s="27"/>
      <c r="K5" s="27"/>
    </row>
    <row r="6" ht="28.5" customHeight="1" spans="1:11">
      <c r="A6" s="2"/>
      <c r="B6" s="32"/>
      <c r="C6" s="33"/>
      <c r="D6" s="2"/>
      <c r="E6" s="2"/>
      <c r="F6" s="22"/>
      <c r="G6" s="2"/>
      <c r="H6" s="2"/>
      <c r="I6" s="2"/>
      <c r="J6" s="2"/>
      <c r="K6" s="2"/>
    </row>
    <row r="7" ht="28.5" customHeight="1" spans="1:11">
      <c r="A7" s="23">
        <v>23</v>
      </c>
      <c r="B7" s="34" t="s">
        <v>548</v>
      </c>
      <c r="C7" s="25" t="s">
        <v>61</v>
      </c>
      <c r="D7" s="23">
        <v>18000</v>
      </c>
      <c r="E7" s="25">
        <v>17775</v>
      </c>
      <c r="F7" s="192" t="s">
        <v>549</v>
      </c>
      <c r="G7" s="27">
        <f t="shared" ref="G7:G15" si="0">ROUND(E7/2,0)</f>
        <v>8888</v>
      </c>
      <c r="H7" s="27"/>
      <c r="I7" s="27"/>
      <c r="J7" s="27"/>
      <c r="K7" s="27"/>
    </row>
    <row r="8" ht="28.5" customHeight="1" spans="1:11">
      <c r="A8" s="23">
        <v>47</v>
      </c>
      <c r="B8" s="35" t="s">
        <v>589</v>
      </c>
      <c r="C8" s="25" t="s">
        <v>74</v>
      </c>
      <c r="D8" s="23">
        <v>75000</v>
      </c>
      <c r="E8" s="25">
        <v>74725</v>
      </c>
      <c r="F8" s="23"/>
      <c r="G8" s="27">
        <f t="shared" si="0"/>
        <v>37363</v>
      </c>
      <c r="H8" s="27"/>
      <c r="I8" s="27"/>
      <c r="J8" s="27"/>
      <c r="K8" s="27"/>
    </row>
    <row r="9" ht="28.5" customHeight="1" spans="1:11">
      <c r="A9" s="23">
        <v>75</v>
      </c>
      <c r="B9" s="34" t="s">
        <v>635</v>
      </c>
      <c r="C9" s="25" t="s">
        <v>61</v>
      </c>
      <c r="D9" s="23">
        <v>24000</v>
      </c>
      <c r="E9" s="25">
        <v>23725</v>
      </c>
      <c r="F9" s="192" t="s">
        <v>636</v>
      </c>
      <c r="G9" s="27">
        <f t="shared" si="0"/>
        <v>11863</v>
      </c>
      <c r="H9" s="27"/>
      <c r="I9" s="27"/>
      <c r="J9" s="27"/>
      <c r="K9" s="27"/>
    </row>
    <row r="10" ht="28.5" customHeight="1" spans="1:11">
      <c r="A10" s="23">
        <v>87</v>
      </c>
      <c r="B10" s="34" t="s">
        <v>660</v>
      </c>
      <c r="C10" s="25" t="s">
        <v>410</v>
      </c>
      <c r="D10" s="23">
        <v>50000</v>
      </c>
      <c r="E10" s="25">
        <v>49725</v>
      </c>
      <c r="F10" s="192" t="s">
        <v>661</v>
      </c>
      <c r="G10" s="27">
        <f t="shared" si="0"/>
        <v>24863</v>
      </c>
      <c r="H10" s="27"/>
      <c r="I10" s="27"/>
      <c r="J10" s="27"/>
      <c r="K10" s="27"/>
    </row>
    <row r="11" ht="28.5" customHeight="1" spans="1:11">
      <c r="A11" s="23">
        <v>98</v>
      </c>
      <c r="B11" s="34" t="s">
        <v>682</v>
      </c>
      <c r="C11" s="25" t="s">
        <v>61</v>
      </c>
      <c r="D11" s="23">
        <v>23000</v>
      </c>
      <c r="E11" s="25">
        <v>22770</v>
      </c>
      <c r="F11" s="192" t="s">
        <v>683</v>
      </c>
      <c r="G11" s="27">
        <f t="shared" si="0"/>
        <v>11385</v>
      </c>
      <c r="H11" s="27"/>
      <c r="I11" s="27"/>
      <c r="J11" s="27"/>
      <c r="K11" s="27"/>
    </row>
    <row r="12" ht="28.5" customHeight="1" spans="1:11">
      <c r="A12" s="23">
        <v>99</v>
      </c>
      <c r="B12" s="34" t="s">
        <v>684</v>
      </c>
      <c r="C12" s="25" t="s">
        <v>61</v>
      </c>
      <c r="D12" s="23">
        <v>37000</v>
      </c>
      <c r="E12" s="25">
        <v>36725</v>
      </c>
      <c r="F12" s="192" t="s">
        <v>685</v>
      </c>
      <c r="G12" s="27">
        <f t="shared" si="0"/>
        <v>18363</v>
      </c>
      <c r="H12" s="27"/>
      <c r="I12" s="27"/>
      <c r="J12" s="27"/>
      <c r="K12" s="27"/>
    </row>
    <row r="13" ht="28.5" customHeight="1" spans="1:11">
      <c r="A13" s="23">
        <v>142</v>
      </c>
      <c r="B13" s="34" t="s">
        <v>750</v>
      </c>
      <c r="C13" s="25" t="s">
        <v>61</v>
      </c>
      <c r="D13" s="25">
        <v>18000</v>
      </c>
      <c r="E13" s="25">
        <v>17775</v>
      </c>
      <c r="F13" s="192" t="s">
        <v>751</v>
      </c>
      <c r="G13" s="27">
        <f t="shared" si="0"/>
        <v>8888</v>
      </c>
      <c r="H13" s="27"/>
      <c r="I13" s="27"/>
      <c r="J13" s="27"/>
      <c r="K13" s="27"/>
    </row>
    <row r="14" ht="28.5" customHeight="1" spans="1:11">
      <c r="A14" s="23">
        <v>144</v>
      </c>
      <c r="B14" s="34" t="s">
        <v>754</v>
      </c>
      <c r="C14" s="25" t="s">
        <v>61</v>
      </c>
      <c r="D14" s="25">
        <v>20000</v>
      </c>
      <c r="E14" s="25">
        <v>19775</v>
      </c>
      <c r="F14" s="192" t="s">
        <v>755</v>
      </c>
      <c r="G14" s="27">
        <f t="shared" si="0"/>
        <v>9888</v>
      </c>
      <c r="H14" s="27"/>
      <c r="I14" s="27"/>
      <c r="J14" s="27"/>
      <c r="K14" s="27"/>
    </row>
    <row r="15" ht="28.5" customHeight="1" spans="1:11">
      <c r="A15" s="23">
        <v>145</v>
      </c>
      <c r="B15" s="34" t="s">
        <v>756</v>
      </c>
      <c r="C15" s="25" t="s">
        <v>61</v>
      </c>
      <c r="D15" s="25">
        <v>25000</v>
      </c>
      <c r="E15" s="25">
        <v>24725</v>
      </c>
      <c r="F15" s="192" t="s">
        <v>757</v>
      </c>
      <c r="G15" s="27">
        <f t="shared" si="0"/>
        <v>12363</v>
      </c>
      <c r="H15" s="27"/>
      <c r="I15" s="27"/>
      <c r="J15" s="27"/>
      <c r="K15" s="27"/>
    </row>
    <row r="16" ht="28.5" customHeight="1" spans="1:11">
      <c r="A16" s="16"/>
      <c r="B16" s="17" t="s">
        <v>9</v>
      </c>
      <c r="C16" s="18"/>
      <c r="D16" s="18">
        <f t="shared" ref="D16:E16" si="1">SUM(D5:D15)</f>
        <v>330000</v>
      </c>
      <c r="E16" s="18">
        <f t="shared" si="1"/>
        <v>327445</v>
      </c>
      <c r="F16" s="18"/>
      <c r="G16" s="6">
        <f>SUM(G5:G15)</f>
        <v>163727</v>
      </c>
      <c r="H16" s="6"/>
      <c r="I16" s="6"/>
      <c r="J16" s="6"/>
      <c r="K16" s="6"/>
    </row>
    <row r="17" ht="28.5" customHeight="1" spans="1:11">
      <c r="A17" s="19"/>
      <c r="B17" s="20"/>
      <c r="C17" s="20"/>
      <c r="D17" s="21"/>
      <c r="E17" s="19"/>
      <c r="F17" s="22"/>
      <c r="G17" s="2"/>
      <c r="H17" s="2"/>
      <c r="I17" s="2"/>
      <c r="J17" s="2"/>
      <c r="K17" s="2"/>
    </row>
    <row r="18" ht="28.5" customHeight="1" spans="1:11">
      <c r="A18" s="19"/>
      <c r="B18" s="36"/>
      <c r="C18" s="36"/>
      <c r="D18" s="16"/>
      <c r="E18" s="36"/>
      <c r="F18" s="36"/>
      <c r="G18" s="2"/>
      <c r="H18" s="2"/>
      <c r="I18" s="2"/>
      <c r="J18" s="2"/>
      <c r="K18" s="2"/>
    </row>
    <row r="19" ht="28.5" customHeight="1" spans="1:11">
      <c r="A19" s="19"/>
      <c r="B19" s="17"/>
      <c r="C19" s="18"/>
      <c r="D19" s="16"/>
      <c r="E19" s="19"/>
      <c r="F19" s="22"/>
      <c r="G19" s="2"/>
      <c r="H19" s="2"/>
      <c r="I19" s="2"/>
      <c r="J19" s="2"/>
      <c r="K19" s="2"/>
    </row>
    <row r="20" ht="28.5" customHeight="1" spans="1:11">
      <c r="A20" s="19"/>
      <c r="B20" s="17"/>
      <c r="C20" s="18"/>
      <c r="D20" s="16"/>
      <c r="E20" s="19"/>
      <c r="F20" s="22"/>
      <c r="G20" s="2"/>
      <c r="H20" s="2"/>
      <c r="I20" s="2"/>
      <c r="J20" s="2">
        <f>+G16+'Teaching (5)'!G136</f>
        <v>2752800</v>
      </c>
      <c r="K20" s="2"/>
    </row>
    <row r="21" ht="28.5" hidden="1" customHeight="1" spans="1:11">
      <c r="A21" s="28" t="s">
        <v>507</v>
      </c>
      <c r="G21" s="2"/>
      <c r="H21" s="2"/>
      <c r="I21" s="2"/>
      <c r="J21" s="2"/>
      <c r="K21" s="2"/>
    </row>
    <row r="22" ht="28.5" hidden="1" customHeight="1" spans="1:11">
      <c r="A22" s="28" t="s">
        <v>766</v>
      </c>
      <c r="G22" s="2"/>
      <c r="H22" s="2"/>
      <c r="I22" s="2"/>
      <c r="J22" s="2"/>
      <c r="K22" s="2"/>
    </row>
    <row r="23" ht="41.25" hidden="1" customHeight="1" spans="1:11">
      <c r="A23" s="18" t="s">
        <v>509</v>
      </c>
      <c r="B23" s="17" t="s">
        <v>3</v>
      </c>
      <c r="C23" s="18" t="s">
        <v>4</v>
      </c>
      <c r="D23" s="18" t="s">
        <v>5</v>
      </c>
      <c r="E23" s="18" t="s">
        <v>26</v>
      </c>
      <c r="F23" s="5" t="s">
        <v>27</v>
      </c>
      <c r="G23" s="2"/>
      <c r="H23" s="2"/>
      <c r="I23" s="2"/>
      <c r="J23" s="2"/>
      <c r="K23" s="2"/>
    </row>
    <row r="24" ht="28.5" customHeight="1" spans="1:11">
      <c r="A24" s="28"/>
      <c r="B24" s="29"/>
      <c r="C24" s="30"/>
      <c r="D24" s="28"/>
      <c r="E24" s="28"/>
      <c r="F24" s="31"/>
      <c r="G24" s="2"/>
      <c r="H24" s="2"/>
      <c r="I24" s="2"/>
      <c r="J24" s="2"/>
      <c r="K24" s="2"/>
    </row>
    <row r="25" ht="28.5" customHeight="1" spans="1:11">
      <c r="A25" s="2"/>
      <c r="B25" s="32"/>
      <c r="C25" s="33"/>
      <c r="D25" s="2"/>
      <c r="E25" s="2"/>
      <c r="F25" s="22"/>
      <c r="G25" s="2"/>
      <c r="H25" s="2"/>
      <c r="I25" s="2"/>
      <c r="J25" s="2"/>
      <c r="K25" s="2"/>
    </row>
    <row r="26" ht="28.5" customHeight="1" spans="1:11">
      <c r="A26" s="2"/>
      <c r="B26" s="32"/>
      <c r="C26" s="33"/>
      <c r="D26" s="2"/>
      <c r="E26" s="2"/>
      <c r="F26" s="22"/>
      <c r="G26" s="2"/>
      <c r="H26" s="2"/>
      <c r="I26" s="2"/>
      <c r="J26" s="2"/>
      <c r="K26" s="2"/>
    </row>
    <row r="27" ht="28.5" customHeight="1" spans="1:11">
      <c r="A27" s="2"/>
      <c r="B27" s="32"/>
      <c r="C27" s="33"/>
      <c r="D27" s="2"/>
      <c r="E27" s="2"/>
      <c r="F27" s="22"/>
      <c r="G27" s="2"/>
      <c r="H27" s="2"/>
      <c r="I27" s="2"/>
      <c r="J27" s="2"/>
      <c r="K27" s="2"/>
    </row>
    <row r="28" ht="28.5" customHeight="1" spans="1:11">
      <c r="A28" s="2"/>
      <c r="B28" s="32"/>
      <c r="C28" s="33"/>
      <c r="D28" s="2"/>
      <c r="E28" s="2"/>
      <c r="F28" s="22"/>
      <c r="G28" s="2"/>
      <c r="H28" s="2"/>
      <c r="I28" s="2"/>
      <c r="J28" s="2"/>
      <c r="K28" s="2"/>
    </row>
    <row r="29" ht="28.5" customHeight="1" spans="1:11">
      <c r="A29" s="2"/>
      <c r="B29" s="32"/>
      <c r="C29" s="33"/>
      <c r="D29" s="2"/>
      <c r="E29" s="2"/>
      <c r="F29" s="22"/>
      <c r="G29" s="2"/>
      <c r="H29" s="2"/>
      <c r="I29" s="2"/>
      <c r="J29" s="2"/>
      <c r="K29" s="2"/>
    </row>
    <row r="30" ht="28.5" customHeight="1" spans="1:11">
      <c r="A30" s="2"/>
      <c r="B30" s="32"/>
      <c r="C30" s="33"/>
      <c r="D30" s="2"/>
      <c r="E30" s="2"/>
      <c r="F30" s="22"/>
      <c r="G30" s="2"/>
      <c r="H30" s="2"/>
      <c r="I30" s="2"/>
      <c r="J30" s="2"/>
      <c r="K30" s="2"/>
    </row>
    <row r="31" ht="28.5" customHeight="1" spans="1:11">
      <c r="A31" s="2"/>
      <c r="B31" s="32"/>
      <c r="C31" s="33"/>
      <c r="D31" s="2"/>
      <c r="E31" s="2"/>
      <c r="F31" s="22"/>
      <c r="G31" s="2"/>
      <c r="H31" s="2"/>
      <c r="I31" s="2"/>
      <c r="J31" s="2"/>
      <c r="K31" s="2"/>
    </row>
    <row r="32" ht="28.5" customHeight="1" spans="1:11">
      <c r="A32" s="2"/>
      <c r="B32" s="32"/>
      <c r="C32" s="33"/>
      <c r="D32" s="2"/>
      <c r="E32" s="2"/>
      <c r="F32" s="22"/>
      <c r="G32" s="2"/>
      <c r="H32" s="2"/>
      <c r="I32" s="2"/>
      <c r="J32" s="2"/>
      <c r="K32" s="2"/>
    </row>
    <row r="33" ht="28.5" customHeight="1" spans="1:11">
      <c r="A33" s="2"/>
      <c r="B33" s="32"/>
      <c r="C33" s="33"/>
      <c r="D33" s="2"/>
      <c r="E33" s="2"/>
      <c r="F33" s="22"/>
      <c r="G33" s="2"/>
      <c r="H33" s="2"/>
      <c r="I33" s="2"/>
      <c r="J33" s="2"/>
      <c r="K33" s="2"/>
    </row>
    <row r="34" ht="28.5" customHeight="1" spans="1:11">
      <c r="A34" s="2"/>
      <c r="B34" s="32"/>
      <c r="C34" s="33"/>
      <c r="D34" s="2"/>
      <c r="E34" s="2"/>
      <c r="F34" s="22"/>
      <c r="G34" s="2"/>
      <c r="H34" s="2"/>
      <c r="I34" s="2"/>
      <c r="J34" s="2"/>
      <c r="K34" s="2"/>
    </row>
    <row r="35" ht="28.5" customHeight="1" spans="1:11">
      <c r="A35" s="2"/>
      <c r="B35" s="32"/>
      <c r="C35" s="33"/>
      <c r="D35" s="2"/>
      <c r="E35" s="2"/>
      <c r="F35" s="22"/>
      <c r="G35" s="2"/>
      <c r="H35" s="2"/>
      <c r="I35" s="2"/>
      <c r="J35" s="2"/>
      <c r="K35" s="2"/>
    </row>
    <row r="36" ht="28.5" customHeight="1" spans="1:11">
      <c r="A36" s="2"/>
      <c r="B36" s="32"/>
      <c r="C36" s="33"/>
      <c r="D36" s="2"/>
      <c r="E36" s="2"/>
      <c r="F36" s="22"/>
      <c r="G36" s="2"/>
      <c r="H36" s="2"/>
      <c r="I36" s="2"/>
      <c r="J36" s="2"/>
      <c r="K36" s="2"/>
    </row>
    <row r="37" ht="28.5" customHeight="1" spans="1:11">
      <c r="A37" s="2"/>
      <c r="B37" s="32"/>
      <c r="C37" s="33"/>
      <c r="D37" s="2"/>
      <c r="E37" s="2"/>
      <c r="F37" s="22"/>
      <c r="G37" s="2"/>
      <c r="H37" s="2"/>
      <c r="I37" s="2"/>
      <c r="J37" s="2"/>
      <c r="K37" s="2"/>
    </row>
    <row r="38" ht="28.5" customHeight="1" spans="1:11">
      <c r="A38" s="2"/>
      <c r="B38" s="32"/>
      <c r="C38" s="33"/>
      <c r="D38" s="2"/>
      <c r="E38" s="2"/>
      <c r="F38" s="22"/>
      <c r="G38" s="2"/>
      <c r="H38" s="2"/>
      <c r="I38" s="2"/>
      <c r="J38" s="2"/>
      <c r="K38" s="2"/>
    </row>
    <row r="39" ht="28.5" customHeight="1" spans="1:11">
      <c r="A39" s="2"/>
      <c r="B39" s="32"/>
      <c r="C39" s="33"/>
      <c r="D39" s="2"/>
      <c r="E39" s="2"/>
      <c r="F39" s="22"/>
      <c r="G39" s="2"/>
      <c r="H39" s="2"/>
      <c r="I39" s="2"/>
      <c r="J39" s="2"/>
      <c r="K39" s="2"/>
    </row>
    <row r="40" ht="28.5" customHeight="1" spans="1:11">
      <c r="A40" s="2"/>
      <c r="B40" s="32"/>
      <c r="C40" s="33"/>
      <c r="D40" s="2"/>
      <c r="E40" s="2"/>
      <c r="F40" s="22"/>
      <c r="G40" s="2"/>
      <c r="H40" s="2"/>
      <c r="I40" s="2"/>
      <c r="J40" s="2"/>
      <c r="K40" s="2"/>
    </row>
    <row r="41" ht="28.5" customHeight="1" spans="1:11">
      <c r="A41" s="2"/>
      <c r="B41" s="32"/>
      <c r="C41" s="33"/>
      <c r="D41" s="2"/>
      <c r="E41" s="2"/>
      <c r="F41" s="22"/>
      <c r="G41" s="2"/>
      <c r="H41" s="2"/>
      <c r="I41" s="2"/>
      <c r="J41" s="2"/>
      <c r="K41" s="2"/>
    </row>
    <row r="42" ht="28.5" customHeight="1" spans="1:11">
      <c r="A42" s="2"/>
      <c r="B42" s="32"/>
      <c r="C42" s="33"/>
      <c r="D42" s="2"/>
      <c r="E42" s="2"/>
      <c r="F42" s="22"/>
      <c r="G42" s="2"/>
      <c r="H42" s="2"/>
      <c r="I42" s="2"/>
      <c r="J42" s="2"/>
      <c r="K42" s="2"/>
    </row>
    <row r="43" ht="28.5" customHeight="1" spans="1:11">
      <c r="A43" s="2"/>
      <c r="B43" s="32"/>
      <c r="C43" s="33"/>
      <c r="D43" s="2"/>
      <c r="E43" s="2"/>
      <c r="F43" s="22"/>
      <c r="G43" s="2"/>
      <c r="H43" s="2"/>
      <c r="I43" s="2"/>
      <c r="J43" s="2"/>
      <c r="K43" s="2"/>
    </row>
    <row r="44" ht="28.5" customHeight="1" spans="1:11">
      <c r="A44" s="2"/>
      <c r="B44" s="32"/>
      <c r="C44" s="33"/>
      <c r="D44" s="2"/>
      <c r="E44" s="2"/>
      <c r="F44" s="22"/>
      <c r="G44" s="2"/>
      <c r="H44" s="2"/>
      <c r="I44" s="2"/>
      <c r="J44" s="2"/>
      <c r="K44" s="2"/>
    </row>
    <row r="45" ht="28.5" customHeight="1" spans="1:11">
      <c r="A45" s="2"/>
      <c r="B45" s="32"/>
      <c r="C45" s="33"/>
      <c r="D45" s="2"/>
      <c r="E45" s="2"/>
      <c r="F45" s="22"/>
      <c r="G45" s="2"/>
      <c r="H45" s="2"/>
      <c r="I45" s="2"/>
      <c r="J45" s="2"/>
      <c r="K45" s="2"/>
    </row>
    <row r="46" ht="28.5" customHeight="1" spans="1:11">
      <c r="A46" s="2"/>
      <c r="B46" s="32"/>
      <c r="C46" s="33"/>
      <c r="D46" s="2"/>
      <c r="E46" s="2"/>
      <c r="F46" s="22"/>
      <c r="G46" s="2"/>
      <c r="H46" s="2"/>
      <c r="I46" s="2"/>
      <c r="J46" s="2"/>
      <c r="K46" s="2"/>
    </row>
    <row r="47" ht="28.5" customHeight="1" spans="1:11">
      <c r="A47" s="2"/>
      <c r="B47" s="32"/>
      <c r="C47" s="33"/>
      <c r="D47" s="2"/>
      <c r="E47" s="2"/>
      <c r="F47" s="22"/>
      <c r="G47" s="2"/>
      <c r="H47" s="2"/>
      <c r="I47" s="2"/>
      <c r="J47" s="2"/>
      <c r="K47" s="2"/>
    </row>
    <row r="48" ht="28.5" customHeight="1" spans="1:11">
      <c r="A48" s="2"/>
      <c r="B48" s="32"/>
      <c r="C48" s="33"/>
      <c r="D48" s="2"/>
      <c r="E48" s="2"/>
      <c r="F48" s="22"/>
      <c r="G48" s="2"/>
      <c r="H48" s="2"/>
      <c r="I48" s="2"/>
      <c r="J48" s="2"/>
      <c r="K48" s="2"/>
    </row>
    <row r="49" ht="28.5" customHeight="1" spans="1:11">
      <c r="A49" s="2"/>
      <c r="B49" s="32"/>
      <c r="C49" s="33"/>
      <c r="D49" s="2"/>
      <c r="E49" s="2"/>
      <c r="F49" s="22"/>
      <c r="G49" s="2"/>
      <c r="H49" s="2"/>
      <c r="I49" s="2"/>
      <c r="J49" s="2"/>
      <c r="K49" s="2"/>
    </row>
    <row r="50" ht="28.5" customHeight="1" spans="1:11">
      <c r="A50" s="2"/>
      <c r="B50" s="32"/>
      <c r="C50" s="33"/>
      <c r="D50" s="2"/>
      <c r="E50" s="2"/>
      <c r="F50" s="22"/>
      <c r="G50" s="2"/>
      <c r="H50" s="2"/>
      <c r="I50" s="2"/>
      <c r="J50" s="2"/>
      <c r="K50" s="2"/>
    </row>
    <row r="51" ht="28.5" customHeight="1" spans="1:11">
      <c r="A51" s="2"/>
      <c r="B51" s="32"/>
      <c r="C51" s="33"/>
      <c r="D51" s="2"/>
      <c r="E51" s="2"/>
      <c r="F51" s="22"/>
      <c r="G51" s="2"/>
      <c r="H51" s="2"/>
      <c r="I51" s="2"/>
      <c r="J51" s="2"/>
      <c r="K51" s="2"/>
    </row>
    <row r="52" ht="28.5" customHeight="1" spans="1:11">
      <c r="A52" s="2"/>
      <c r="B52" s="32"/>
      <c r="C52" s="33"/>
      <c r="D52" s="2"/>
      <c r="E52" s="2"/>
      <c r="F52" s="22"/>
      <c r="G52" s="2"/>
      <c r="H52" s="2"/>
      <c r="I52" s="2"/>
      <c r="J52" s="2"/>
      <c r="K52" s="2"/>
    </row>
    <row r="53" ht="28.5" customHeight="1" spans="1:11">
      <c r="A53" s="2"/>
      <c r="B53" s="32"/>
      <c r="C53" s="33"/>
      <c r="D53" s="2"/>
      <c r="E53" s="2"/>
      <c r="F53" s="22"/>
      <c r="G53" s="2"/>
      <c r="H53" s="2"/>
      <c r="I53" s="2"/>
      <c r="J53" s="2"/>
      <c r="K53" s="2"/>
    </row>
    <row r="54" ht="28.5" customHeight="1" spans="1:11">
      <c r="A54" s="2"/>
      <c r="B54" s="32"/>
      <c r="C54" s="33"/>
      <c r="D54" s="2"/>
      <c r="E54" s="2"/>
      <c r="F54" s="22"/>
      <c r="G54" s="2"/>
      <c r="H54" s="2"/>
      <c r="I54" s="2"/>
      <c r="J54" s="2"/>
      <c r="K54" s="2"/>
    </row>
    <row r="55" ht="28.5" customHeight="1" spans="1:11">
      <c r="A55" s="2"/>
      <c r="B55" s="32"/>
      <c r="C55" s="33"/>
      <c r="D55" s="2"/>
      <c r="E55" s="2"/>
      <c r="F55" s="22"/>
      <c r="G55" s="2"/>
      <c r="H55" s="2"/>
      <c r="I55" s="2"/>
      <c r="J55" s="2"/>
      <c r="K55" s="2"/>
    </row>
    <row r="56" ht="28.5" customHeight="1" spans="1:11">
      <c r="A56" s="2"/>
      <c r="B56" s="32"/>
      <c r="C56" s="33"/>
      <c r="D56" s="2"/>
      <c r="E56" s="2"/>
      <c r="F56" s="22"/>
      <c r="G56" s="2"/>
      <c r="H56" s="2"/>
      <c r="I56" s="2"/>
      <c r="J56" s="2"/>
      <c r="K56" s="2"/>
    </row>
    <row r="57" ht="28.5" customHeight="1" spans="1:11">
      <c r="A57" s="2"/>
      <c r="B57" s="32"/>
      <c r="C57" s="33"/>
      <c r="D57" s="2"/>
      <c r="E57" s="2"/>
      <c r="F57" s="22"/>
      <c r="G57" s="2"/>
      <c r="H57" s="2"/>
      <c r="I57" s="2"/>
      <c r="J57" s="2"/>
      <c r="K57" s="2"/>
    </row>
    <row r="58" ht="28.5" customHeight="1" spans="1:11">
      <c r="A58" s="2"/>
      <c r="B58" s="32"/>
      <c r="C58" s="33"/>
      <c r="D58" s="2"/>
      <c r="E58" s="2"/>
      <c r="F58" s="22"/>
      <c r="G58" s="2"/>
      <c r="H58" s="2"/>
      <c r="I58" s="2"/>
      <c r="J58" s="2"/>
      <c r="K58" s="2"/>
    </row>
    <row r="59" ht="28.5" customHeight="1" spans="1:11">
      <c r="A59" s="2"/>
      <c r="B59" s="32"/>
      <c r="C59" s="33"/>
      <c r="D59" s="2"/>
      <c r="E59" s="2"/>
      <c r="F59" s="22"/>
      <c r="G59" s="2"/>
      <c r="H59" s="2"/>
      <c r="I59" s="2"/>
      <c r="J59" s="2"/>
      <c r="K59" s="2"/>
    </row>
    <row r="60" ht="28.5" customHeight="1" spans="1:11">
      <c r="A60" s="2"/>
      <c r="B60" s="32"/>
      <c r="C60" s="33"/>
      <c r="D60" s="2"/>
      <c r="E60" s="2"/>
      <c r="F60" s="22"/>
      <c r="G60" s="2"/>
      <c r="H60" s="2"/>
      <c r="I60" s="2"/>
      <c r="J60" s="2"/>
      <c r="K60" s="2"/>
    </row>
    <row r="61" ht="28.5" customHeight="1" spans="1:11">
      <c r="A61" s="2"/>
      <c r="B61" s="32"/>
      <c r="C61" s="33"/>
      <c r="D61" s="2"/>
      <c r="E61" s="2"/>
      <c r="F61" s="22"/>
      <c r="G61" s="2"/>
      <c r="H61" s="2"/>
      <c r="I61" s="2"/>
      <c r="J61" s="2"/>
      <c r="K61" s="2"/>
    </row>
    <row r="62" ht="28.5" customHeight="1" spans="1:11">
      <c r="A62" s="2"/>
      <c r="B62" s="32"/>
      <c r="C62" s="33"/>
      <c r="D62" s="2"/>
      <c r="E62" s="2"/>
      <c r="F62" s="22"/>
      <c r="G62" s="2"/>
      <c r="H62" s="2"/>
      <c r="I62" s="2"/>
      <c r="J62" s="2"/>
      <c r="K62" s="2"/>
    </row>
    <row r="63" ht="28.5" customHeight="1" spans="1:11">
      <c r="A63" s="2"/>
      <c r="B63" s="32"/>
      <c r="C63" s="33"/>
      <c r="D63" s="2"/>
      <c r="E63" s="2"/>
      <c r="F63" s="22"/>
      <c r="G63" s="2"/>
      <c r="H63" s="2"/>
      <c r="I63" s="2"/>
      <c r="J63" s="2"/>
      <c r="K63" s="2"/>
    </row>
    <row r="64" ht="28.5" customHeight="1" spans="1:11">
      <c r="A64" s="2"/>
      <c r="B64" s="32"/>
      <c r="C64" s="33"/>
      <c r="D64" s="2"/>
      <c r="E64" s="2"/>
      <c r="F64" s="22"/>
      <c r="G64" s="2"/>
      <c r="H64" s="2"/>
      <c r="I64" s="2"/>
      <c r="J64" s="2"/>
      <c r="K64" s="2"/>
    </row>
    <row r="65" ht="28.5" customHeight="1" spans="1:11">
      <c r="A65" s="2"/>
      <c r="B65" s="32"/>
      <c r="C65" s="33"/>
      <c r="D65" s="2"/>
      <c r="E65" s="2"/>
      <c r="F65" s="22"/>
      <c r="G65" s="2"/>
      <c r="H65" s="2"/>
      <c r="I65" s="2"/>
      <c r="J65" s="2"/>
      <c r="K65" s="2"/>
    </row>
    <row r="66" ht="28.5" customHeight="1" spans="1:11">
      <c r="A66" s="2"/>
      <c r="B66" s="32"/>
      <c r="C66" s="33"/>
      <c r="D66" s="2"/>
      <c r="E66" s="2"/>
      <c r="F66" s="22"/>
      <c r="G66" s="2"/>
      <c r="H66" s="2"/>
      <c r="I66" s="2"/>
      <c r="J66" s="2"/>
      <c r="K66" s="2"/>
    </row>
    <row r="67" ht="28.5" customHeight="1" spans="1:11">
      <c r="A67" s="2"/>
      <c r="B67" s="32"/>
      <c r="C67" s="33"/>
      <c r="D67" s="2"/>
      <c r="E67" s="2"/>
      <c r="F67" s="22"/>
      <c r="G67" s="2"/>
      <c r="H67" s="2"/>
      <c r="I67" s="2"/>
      <c r="J67" s="2"/>
      <c r="K67" s="2"/>
    </row>
    <row r="68" ht="28.5" customHeight="1" spans="1:11">
      <c r="A68" s="2"/>
      <c r="B68" s="32"/>
      <c r="C68" s="33"/>
      <c r="D68" s="2"/>
      <c r="E68" s="2"/>
      <c r="F68" s="22"/>
      <c r="G68" s="2"/>
      <c r="H68" s="2"/>
      <c r="I68" s="2"/>
      <c r="J68" s="2"/>
      <c r="K68" s="2"/>
    </row>
    <row r="69" ht="28.5" customHeight="1" spans="1:11">
      <c r="A69" s="2"/>
      <c r="B69" s="32"/>
      <c r="C69" s="33"/>
      <c r="D69" s="2"/>
      <c r="E69" s="2"/>
      <c r="F69" s="22"/>
      <c r="G69" s="2"/>
      <c r="H69" s="2"/>
      <c r="I69" s="2"/>
      <c r="J69" s="2"/>
      <c r="K69" s="2"/>
    </row>
    <row r="70" ht="28.5" customHeight="1" spans="1:11">
      <c r="A70" s="2"/>
      <c r="B70" s="32"/>
      <c r="C70" s="33"/>
      <c r="D70" s="2"/>
      <c r="E70" s="2"/>
      <c r="F70" s="22"/>
      <c r="G70" s="2"/>
      <c r="H70" s="2"/>
      <c r="I70" s="2"/>
      <c r="J70" s="2"/>
      <c r="K70" s="2"/>
    </row>
    <row r="71" ht="28.5" customHeight="1" spans="1:11">
      <c r="A71" s="2"/>
      <c r="B71" s="32"/>
      <c r="C71" s="33"/>
      <c r="D71" s="2"/>
      <c r="E71" s="2"/>
      <c r="F71" s="22"/>
      <c r="G71" s="2"/>
      <c r="H71" s="2"/>
      <c r="I71" s="2"/>
      <c r="J71" s="2"/>
      <c r="K71" s="2"/>
    </row>
    <row r="72" ht="28.5" customHeight="1" spans="1:11">
      <c r="A72" s="2"/>
      <c r="B72" s="32"/>
      <c r="C72" s="33"/>
      <c r="D72" s="2"/>
      <c r="E72" s="2"/>
      <c r="F72" s="22"/>
      <c r="G72" s="2"/>
      <c r="H72" s="2"/>
      <c r="I72" s="2"/>
      <c r="J72" s="2"/>
      <c r="K72" s="2"/>
    </row>
    <row r="73" ht="28.5" customHeight="1" spans="1:11">
      <c r="A73" s="2"/>
      <c r="B73" s="32"/>
      <c r="C73" s="33"/>
      <c r="D73" s="2"/>
      <c r="E73" s="2"/>
      <c r="F73" s="22"/>
      <c r="G73" s="2"/>
      <c r="H73" s="2"/>
      <c r="I73" s="2"/>
      <c r="J73" s="2"/>
      <c r="K73" s="2"/>
    </row>
    <row r="74" ht="28.5" customHeight="1" spans="1:11">
      <c r="A74" s="2"/>
      <c r="B74" s="32"/>
      <c r="C74" s="33"/>
      <c r="D74" s="2"/>
      <c r="E74" s="2"/>
      <c r="F74" s="22"/>
      <c r="G74" s="2"/>
      <c r="H74" s="2"/>
      <c r="I74" s="2"/>
      <c r="J74" s="2"/>
      <c r="K74" s="2"/>
    </row>
    <row r="75" ht="28.5" customHeight="1" spans="1:11">
      <c r="A75" s="2"/>
      <c r="B75" s="32"/>
      <c r="C75" s="33"/>
      <c r="D75" s="2"/>
      <c r="E75" s="2"/>
      <c r="F75" s="22"/>
      <c r="G75" s="2"/>
      <c r="H75" s="2"/>
      <c r="I75" s="2"/>
      <c r="J75" s="2"/>
      <c r="K75" s="2"/>
    </row>
    <row r="76" ht="28.5" customHeight="1" spans="1:11">
      <c r="A76" s="2"/>
      <c r="B76" s="32"/>
      <c r="C76" s="33"/>
      <c r="D76" s="2"/>
      <c r="E76" s="2"/>
      <c r="F76" s="22"/>
      <c r="G76" s="2"/>
      <c r="H76" s="2"/>
      <c r="I76" s="2"/>
      <c r="J76" s="2"/>
      <c r="K76" s="2"/>
    </row>
    <row r="77" ht="28.5" customHeight="1" spans="1:11">
      <c r="A77" s="2"/>
      <c r="B77" s="32"/>
      <c r="C77" s="33"/>
      <c r="D77" s="2"/>
      <c r="E77" s="2"/>
      <c r="F77" s="22"/>
      <c r="G77" s="2"/>
      <c r="H77" s="2"/>
      <c r="I77" s="2"/>
      <c r="J77" s="2"/>
      <c r="K77" s="2"/>
    </row>
    <row r="78" ht="28.5" customHeight="1" spans="1:11">
      <c r="A78" s="2"/>
      <c r="B78" s="32"/>
      <c r="C78" s="33"/>
      <c r="D78" s="2"/>
      <c r="E78" s="2"/>
      <c r="F78" s="22"/>
      <c r="G78" s="2"/>
      <c r="H78" s="2"/>
      <c r="I78" s="2"/>
      <c r="J78" s="2"/>
      <c r="K78" s="2"/>
    </row>
    <row r="79" ht="28.5" customHeight="1" spans="1:11">
      <c r="A79" s="2"/>
      <c r="B79" s="32"/>
      <c r="C79" s="33"/>
      <c r="D79" s="2"/>
      <c r="E79" s="2"/>
      <c r="F79" s="22"/>
      <c r="G79" s="2"/>
      <c r="H79" s="2"/>
      <c r="I79" s="2"/>
      <c r="J79" s="2"/>
      <c r="K79" s="2"/>
    </row>
    <row r="80" ht="28.5" customHeight="1" spans="1:11">
      <c r="A80" s="2"/>
      <c r="B80" s="32"/>
      <c r="C80" s="33"/>
      <c r="D80" s="2"/>
      <c r="E80" s="2"/>
      <c r="F80" s="22"/>
      <c r="G80" s="2"/>
      <c r="H80" s="2"/>
      <c r="I80" s="2"/>
      <c r="J80" s="2"/>
      <c r="K80" s="2"/>
    </row>
    <row r="81" ht="28.5" customHeight="1" spans="1:11">
      <c r="A81" s="2"/>
      <c r="B81" s="32"/>
      <c r="C81" s="33"/>
      <c r="D81" s="2"/>
      <c r="E81" s="2"/>
      <c r="F81" s="22"/>
      <c r="G81" s="2"/>
      <c r="H81" s="2"/>
      <c r="I81" s="2"/>
      <c r="J81" s="2"/>
      <c r="K81" s="2"/>
    </row>
    <row r="82" ht="28.5" customHeight="1" spans="1:11">
      <c r="A82" s="2"/>
      <c r="B82" s="32"/>
      <c r="C82" s="33"/>
      <c r="D82" s="2"/>
      <c r="E82" s="2"/>
      <c r="F82" s="22"/>
      <c r="G82" s="2"/>
      <c r="H82" s="2"/>
      <c r="I82" s="2"/>
      <c r="J82" s="2"/>
      <c r="K82" s="2"/>
    </row>
    <row r="83" ht="28.5" customHeight="1" spans="1:11">
      <c r="A83" s="2"/>
      <c r="B83" s="32"/>
      <c r="C83" s="33"/>
      <c r="D83" s="2"/>
      <c r="E83" s="2"/>
      <c r="F83" s="22"/>
      <c r="G83" s="2"/>
      <c r="H83" s="2"/>
      <c r="I83" s="2"/>
      <c r="J83" s="2"/>
      <c r="K83" s="2"/>
    </row>
    <row r="84" ht="28.5" customHeight="1" spans="1:11">
      <c r="A84" s="2"/>
      <c r="B84" s="32"/>
      <c r="C84" s="33"/>
      <c r="D84" s="2"/>
      <c r="E84" s="2"/>
      <c r="F84" s="22"/>
      <c r="G84" s="2"/>
      <c r="H84" s="2"/>
      <c r="I84" s="2"/>
      <c r="J84" s="2"/>
      <c r="K84" s="2"/>
    </row>
    <row r="85" ht="28.5" customHeight="1" spans="1:11">
      <c r="A85" s="2"/>
      <c r="B85" s="32"/>
      <c r="C85" s="33"/>
      <c r="D85" s="2"/>
      <c r="E85" s="2"/>
      <c r="F85" s="22"/>
      <c r="G85" s="2"/>
      <c r="H85" s="2"/>
      <c r="I85" s="2"/>
      <c r="J85" s="2"/>
      <c r="K85" s="2"/>
    </row>
    <row r="86" ht="28.5" customHeight="1" spans="1:11">
      <c r="A86" s="2"/>
      <c r="B86" s="32"/>
      <c r="C86" s="33"/>
      <c r="D86" s="2"/>
      <c r="E86" s="2"/>
      <c r="F86" s="22"/>
      <c r="G86" s="2"/>
      <c r="H86" s="2"/>
      <c r="I86" s="2"/>
      <c r="J86" s="2"/>
      <c r="K86" s="2"/>
    </row>
    <row r="87" ht="28.5" customHeight="1" spans="1:11">
      <c r="A87" s="2"/>
      <c r="B87" s="32"/>
      <c r="C87" s="33"/>
      <c r="D87" s="2"/>
      <c r="E87" s="2"/>
      <c r="F87" s="22"/>
      <c r="G87" s="2"/>
      <c r="H87" s="2"/>
      <c r="I87" s="2"/>
      <c r="J87" s="2"/>
      <c r="K87" s="2"/>
    </row>
    <row r="88" ht="28.5" customHeight="1" spans="1:11">
      <c r="A88" s="2"/>
      <c r="B88" s="32"/>
      <c r="C88" s="33"/>
      <c r="D88" s="2"/>
      <c r="E88" s="2"/>
      <c r="F88" s="22"/>
      <c r="G88" s="2"/>
      <c r="H88" s="2"/>
      <c r="I88" s="2"/>
      <c r="J88" s="2"/>
      <c r="K88" s="2"/>
    </row>
    <row r="89" ht="28.5" customHeight="1" spans="1:11">
      <c r="A89" s="2"/>
      <c r="B89" s="32"/>
      <c r="C89" s="33"/>
      <c r="D89" s="2"/>
      <c r="E89" s="2"/>
      <c r="F89" s="22"/>
      <c r="G89" s="2"/>
      <c r="H89" s="2"/>
      <c r="I89" s="2"/>
      <c r="J89" s="2"/>
      <c r="K89" s="2"/>
    </row>
    <row r="90" ht="28.5" customHeight="1" spans="1:11">
      <c r="A90" s="2"/>
      <c r="B90" s="32"/>
      <c r="C90" s="33"/>
      <c r="D90" s="2"/>
      <c r="E90" s="2"/>
      <c r="F90" s="22"/>
      <c r="G90" s="2"/>
      <c r="H90" s="2"/>
      <c r="I90" s="2"/>
      <c r="J90" s="2"/>
      <c r="K90" s="2"/>
    </row>
    <row r="91" ht="28.5" customHeight="1" spans="1:11">
      <c r="A91" s="2"/>
      <c r="B91" s="32"/>
      <c r="C91" s="33"/>
      <c r="D91" s="2"/>
      <c r="E91" s="2"/>
      <c r="F91" s="22"/>
      <c r="G91" s="2"/>
      <c r="H91" s="2"/>
      <c r="I91" s="2"/>
      <c r="J91" s="2"/>
      <c r="K91" s="2"/>
    </row>
    <row r="92" ht="28.5" customHeight="1" spans="1:11">
      <c r="A92" s="2"/>
      <c r="B92" s="32"/>
      <c r="C92" s="33"/>
      <c r="D92" s="2"/>
      <c r="E92" s="2"/>
      <c r="F92" s="22"/>
      <c r="G92" s="2"/>
      <c r="H92" s="2"/>
      <c r="I92" s="2"/>
      <c r="J92" s="2"/>
      <c r="K92" s="2"/>
    </row>
    <row r="93" ht="28.5" customHeight="1" spans="1:11">
      <c r="A93" s="2"/>
      <c r="B93" s="32"/>
      <c r="C93" s="33"/>
      <c r="D93" s="2"/>
      <c r="E93" s="2"/>
      <c r="F93" s="22"/>
      <c r="G93" s="2"/>
      <c r="H93" s="2"/>
      <c r="I93" s="2"/>
      <c r="J93" s="2"/>
      <c r="K93" s="2"/>
    </row>
    <row r="94" ht="28.5" customHeight="1" spans="1:11">
      <c r="A94" s="2"/>
      <c r="B94" s="32"/>
      <c r="C94" s="33"/>
      <c r="D94" s="2"/>
      <c r="E94" s="2"/>
      <c r="F94" s="22"/>
      <c r="G94" s="2"/>
      <c r="H94" s="2"/>
      <c r="I94" s="2"/>
      <c r="J94" s="2"/>
      <c r="K94" s="2"/>
    </row>
    <row r="95" ht="28.5" customHeight="1" spans="1:11">
      <c r="A95" s="2"/>
      <c r="B95" s="32"/>
      <c r="C95" s="33"/>
      <c r="D95" s="2"/>
      <c r="E95" s="2"/>
      <c r="F95" s="22"/>
      <c r="G95" s="2"/>
      <c r="H95" s="2"/>
      <c r="I95" s="2"/>
      <c r="J95" s="2"/>
      <c r="K95" s="2"/>
    </row>
    <row r="96" ht="28.5" customHeight="1" spans="1:11">
      <c r="A96" s="2"/>
      <c r="B96" s="32"/>
      <c r="C96" s="33"/>
      <c r="D96" s="2"/>
      <c r="E96" s="2"/>
      <c r="F96" s="22"/>
      <c r="G96" s="2"/>
      <c r="H96" s="2"/>
      <c r="I96" s="2"/>
      <c r="J96" s="2"/>
      <c r="K96" s="2"/>
    </row>
    <row r="97" ht="28.5" customHeight="1" spans="1:11">
      <c r="A97" s="2"/>
      <c r="B97" s="32"/>
      <c r="C97" s="33"/>
      <c r="D97" s="2"/>
      <c r="E97" s="2"/>
      <c r="F97" s="22"/>
      <c r="G97" s="2"/>
      <c r="H97" s="2"/>
      <c r="I97" s="2"/>
      <c r="J97" s="2"/>
      <c r="K97" s="2"/>
    </row>
    <row r="98" ht="28.5" customHeight="1" spans="1:11">
      <c r="A98" s="2"/>
      <c r="B98" s="32"/>
      <c r="C98" s="33"/>
      <c r="D98" s="2"/>
      <c r="E98" s="2"/>
      <c r="F98" s="22"/>
      <c r="G98" s="2"/>
      <c r="H98" s="2"/>
      <c r="I98" s="2"/>
      <c r="J98" s="2"/>
      <c r="K98" s="2"/>
    </row>
    <row r="99" ht="28.5" customHeight="1" spans="1:11">
      <c r="A99" s="2"/>
      <c r="B99" s="32"/>
      <c r="C99" s="33"/>
      <c r="D99" s="2"/>
      <c r="E99" s="2"/>
      <c r="F99" s="22"/>
      <c r="G99" s="2"/>
      <c r="H99" s="2"/>
      <c r="I99" s="2"/>
      <c r="J99" s="2"/>
      <c r="K99" s="2"/>
    </row>
    <row r="100" ht="28.5" customHeight="1" spans="1:11">
      <c r="A100" s="2"/>
      <c r="B100" s="32"/>
      <c r="C100" s="33"/>
      <c r="D100" s="2"/>
      <c r="E100" s="2"/>
      <c r="F100" s="22"/>
      <c r="G100" s="2"/>
      <c r="H100" s="2"/>
      <c r="I100" s="2"/>
      <c r="J100" s="2"/>
      <c r="K100" s="2"/>
    </row>
  </sheetData>
  <autoFilter xmlns:etc="http://www.wps.cn/officeDocument/2017/etCustomData" ref="A1:F16" etc:filterBottomFollowUsedRange="0">
    <extLst/>
  </autoFilter>
  <mergeCells count="4">
    <mergeCell ref="A1:F1"/>
    <mergeCell ref="A2:F2"/>
    <mergeCell ref="A21:F21"/>
    <mergeCell ref="A22:F22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K100"/>
  <sheetViews>
    <sheetView workbookViewId="0">
      <pane ySplit="3" topLeftCell="A4" activePane="bottomLeft" state="frozen"/>
      <selection/>
      <selection pane="bottomLeft" activeCell="B5" sqref="B5"/>
    </sheetView>
  </sheetViews>
  <sheetFormatPr defaultColWidth="14.4272727272727" defaultRowHeight="15" customHeight="1"/>
  <cols>
    <col min="1" max="1" width="5.57272727272727" customWidth="1"/>
    <col min="2" max="2" width="29.1363636363636" customWidth="1"/>
    <col min="3" max="4" width="10.8545454545455" customWidth="1"/>
    <col min="5" max="5" width="16" customWidth="1"/>
    <col min="6" max="6" width="19.8545454545455" customWidth="1"/>
    <col min="7" max="11" width="9.13636363636364" customWidth="1"/>
  </cols>
  <sheetData>
    <row r="1" ht="18" customHeight="1" spans="1:11">
      <c r="A1" s="1" t="s">
        <v>507</v>
      </c>
      <c r="G1" s="2"/>
      <c r="H1" s="2"/>
      <c r="I1" s="2"/>
      <c r="J1" s="2"/>
      <c r="K1" s="2"/>
    </row>
    <row r="2" ht="22.5" customHeight="1" spans="1:11">
      <c r="A2" s="1" t="s">
        <v>508</v>
      </c>
      <c r="G2" s="2"/>
      <c r="H2" s="2"/>
      <c r="I2" s="2"/>
      <c r="J2" s="2"/>
      <c r="K2" s="2"/>
    </row>
    <row r="3" ht="28.5" customHeight="1" spans="1:11">
      <c r="A3" s="3" t="s">
        <v>509</v>
      </c>
      <c r="B3" s="4" t="s">
        <v>3</v>
      </c>
      <c r="C3" s="3" t="s">
        <v>4</v>
      </c>
      <c r="D3" s="3" t="s">
        <v>5</v>
      </c>
      <c r="E3" s="3" t="s">
        <v>26</v>
      </c>
      <c r="F3" s="5" t="s">
        <v>27</v>
      </c>
      <c r="G3" s="2"/>
      <c r="H3" s="2"/>
      <c r="I3" s="2"/>
      <c r="J3" s="2"/>
      <c r="K3" s="2"/>
    </row>
    <row r="4" ht="21.75" customHeight="1" spans="1:11">
      <c r="A4" s="6"/>
      <c r="B4" s="4" t="s">
        <v>29</v>
      </c>
      <c r="C4" s="3"/>
      <c r="D4" s="6"/>
      <c r="E4" s="6"/>
      <c r="F4" s="3"/>
      <c r="G4" s="2"/>
      <c r="H4" s="2"/>
      <c r="I4" s="2"/>
      <c r="J4" s="2"/>
      <c r="K4" s="2"/>
    </row>
    <row r="5" ht="28.5" customHeight="1" spans="1:11">
      <c r="A5" s="7">
        <v>17</v>
      </c>
      <c r="B5" s="8" t="s">
        <v>537</v>
      </c>
      <c r="C5" s="9" t="s">
        <v>74</v>
      </c>
      <c r="D5" s="7">
        <v>44332</v>
      </c>
      <c r="E5" s="9">
        <v>44057</v>
      </c>
      <c r="F5" s="191" t="s">
        <v>538</v>
      </c>
      <c r="G5" s="10">
        <f t="shared" ref="G5:G14" si="0">ROUND(E5/2,0)</f>
        <v>22029</v>
      </c>
      <c r="H5" s="10"/>
      <c r="I5" s="10"/>
      <c r="J5" s="10"/>
      <c r="K5" s="10"/>
    </row>
    <row r="6" ht="28.5" customHeight="1" spans="1:11">
      <c r="A6" s="7">
        <v>44</v>
      </c>
      <c r="B6" s="11" t="s">
        <v>583</v>
      </c>
      <c r="C6" s="9" t="s">
        <v>74</v>
      </c>
      <c r="D6" s="7">
        <v>70000</v>
      </c>
      <c r="E6" s="9">
        <v>69725</v>
      </c>
      <c r="F6" s="191" t="s">
        <v>584</v>
      </c>
      <c r="G6" s="10">
        <f t="shared" si="0"/>
        <v>34863</v>
      </c>
      <c r="H6" s="10"/>
      <c r="I6" s="10"/>
      <c r="J6" s="10"/>
      <c r="K6" s="10"/>
    </row>
    <row r="7" ht="28.5" customHeight="1" spans="1:11">
      <c r="A7" s="7">
        <v>51</v>
      </c>
      <c r="B7" s="8" t="s">
        <v>594</v>
      </c>
      <c r="C7" s="9" t="s">
        <v>74</v>
      </c>
      <c r="D7" s="7">
        <v>38000</v>
      </c>
      <c r="E7" s="9">
        <v>37725</v>
      </c>
      <c r="F7" s="191" t="s">
        <v>595</v>
      </c>
      <c r="G7" s="10">
        <f t="shared" si="0"/>
        <v>18863</v>
      </c>
      <c r="H7" s="10"/>
      <c r="I7" s="10"/>
      <c r="J7" s="10"/>
      <c r="K7" s="10"/>
    </row>
    <row r="8" ht="28.5" customHeight="1" spans="1:11">
      <c r="A8" s="7">
        <v>57</v>
      </c>
      <c r="B8" s="8" t="s">
        <v>605</v>
      </c>
      <c r="C8" s="9" t="s">
        <v>61</v>
      </c>
      <c r="D8" s="7">
        <v>59890</v>
      </c>
      <c r="E8" s="9">
        <v>59615</v>
      </c>
      <c r="F8" s="191" t="s">
        <v>133</v>
      </c>
      <c r="G8" s="10">
        <f t="shared" si="0"/>
        <v>29808</v>
      </c>
      <c r="H8" s="10"/>
      <c r="I8" s="10"/>
      <c r="J8" s="10"/>
      <c r="K8" s="10"/>
    </row>
    <row r="9" ht="28.5" customHeight="1" spans="1:11">
      <c r="A9" s="7">
        <v>71</v>
      </c>
      <c r="B9" s="8" t="s">
        <v>628</v>
      </c>
      <c r="C9" s="9" t="s">
        <v>74</v>
      </c>
      <c r="D9" s="7">
        <v>90000</v>
      </c>
      <c r="E9" s="9">
        <v>89725</v>
      </c>
      <c r="F9" s="7"/>
      <c r="G9" s="10">
        <f t="shared" si="0"/>
        <v>44863</v>
      </c>
      <c r="H9" s="10"/>
      <c r="I9" s="10"/>
      <c r="J9" s="10"/>
      <c r="K9" s="10"/>
    </row>
    <row r="10" ht="28.5" customHeight="1" spans="1:11">
      <c r="A10" s="12">
        <v>78</v>
      </c>
      <c r="B10" s="13" t="s">
        <v>641</v>
      </c>
      <c r="C10" s="14" t="s">
        <v>61</v>
      </c>
      <c r="D10" s="12">
        <v>35000</v>
      </c>
      <c r="E10" s="14">
        <v>34725</v>
      </c>
      <c r="F10" s="193" t="s">
        <v>642</v>
      </c>
      <c r="G10" s="15">
        <f t="shared" si="0"/>
        <v>17363</v>
      </c>
      <c r="H10" s="15"/>
      <c r="I10" s="15"/>
      <c r="J10" s="15"/>
      <c r="K10" s="15"/>
    </row>
    <row r="11" ht="28.5" customHeight="1" spans="1:11">
      <c r="A11" s="7">
        <v>86</v>
      </c>
      <c r="B11" s="8" t="s">
        <v>658</v>
      </c>
      <c r="C11" s="9" t="s">
        <v>61</v>
      </c>
      <c r="D11" s="7">
        <v>65000</v>
      </c>
      <c r="E11" s="9">
        <v>64725</v>
      </c>
      <c r="F11" s="191" t="s">
        <v>659</v>
      </c>
      <c r="G11" s="10">
        <f t="shared" si="0"/>
        <v>32363</v>
      </c>
      <c r="H11" s="10"/>
      <c r="I11" s="10"/>
      <c r="J11" s="10"/>
      <c r="K11" s="10"/>
    </row>
    <row r="12" ht="28.5" customHeight="1" spans="1:11">
      <c r="A12" s="12">
        <v>92</v>
      </c>
      <c r="B12" s="13" t="s">
        <v>670</v>
      </c>
      <c r="C12" s="14" t="s">
        <v>82</v>
      </c>
      <c r="D12" s="12">
        <v>36000</v>
      </c>
      <c r="E12" s="14">
        <v>35725</v>
      </c>
      <c r="F12" s="193" t="s">
        <v>671</v>
      </c>
      <c r="G12" s="15">
        <f t="shared" si="0"/>
        <v>17863</v>
      </c>
      <c r="H12" s="15"/>
      <c r="I12" s="15"/>
      <c r="J12" s="15"/>
      <c r="K12" s="15"/>
    </row>
    <row r="13" ht="28.5" customHeight="1" spans="1:11">
      <c r="A13" s="12">
        <v>93</v>
      </c>
      <c r="B13" s="13" t="s">
        <v>672</v>
      </c>
      <c r="C13" s="14" t="s">
        <v>82</v>
      </c>
      <c r="D13" s="12">
        <v>35000</v>
      </c>
      <c r="E13" s="14">
        <v>34725</v>
      </c>
      <c r="F13" s="193" t="s">
        <v>673</v>
      </c>
      <c r="G13" s="15">
        <f t="shared" si="0"/>
        <v>17363</v>
      </c>
      <c r="H13" s="15"/>
      <c r="I13" s="15"/>
      <c r="J13" s="15"/>
      <c r="K13" s="15"/>
    </row>
    <row r="14" ht="28.5" customHeight="1" spans="1:11">
      <c r="A14" s="12">
        <v>121</v>
      </c>
      <c r="B14" s="13" t="s">
        <v>719</v>
      </c>
      <c r="C14" s="14" t="s">
        <v>720</v>
      </c>
      <c r="D14" s="12">
        <v>15000</v>
      </c>
      <c r="E14" s="12">
        <v>15000</v>
      </c>
      <c r="F14" s="193" t="s">
        <v>394</v>
      </c>
      <c r="G14" s="15">
        <f t="shared" si="0"/>
        <v>7500</v>
      </c>
      <c r="H14" s="15"/>
      <c r="I14" s="15"/>
      <c r="J14" s="15"/>
      <c r="K14" s="15"/>
    </row>
    <row r="15" ht="28.5" customHeight="1" spans="1:11">
      <c r="A15" s="16"/>
      <c r="B15" s="17" t="s">
        <v>9</v>
      </c>
      <c r="C15" s="18"/>
      <c r="D15" s="18">
        <f t="shared" ref="D15:E15" si="1">SUM(D5:D14)</f>
        <v>488222</v>
      </c>
      <c r="E15" s="18">
        <f t="shared" si="1"/>
        <v>485747</v>
      </c>
      <c r="F15" s="18"/>
      <c r="G15" s="6">
        <f>SUM(G5:G14)</f>
        <v>242878</v>
      </c>
      <c r="H15" s="6"/>
      <c r="I15" s="6"/>
      <c r="J15" s="6"/>
      <c r="K15" s="6"/>
    </row>
    <row r="16" ht="28.5" customHeight="1" spans="1:11">
      <c r="A16" s="19"/>
      <c r="B16" s="20"/>
      <c r="C16" s="20"/>
      <c r="D16" s="21"/>
      <c r="E16" s="19"/>
      <c r="F16" s="22"/>
      <c r="G16" s="2"/>
      <c r="H16" s="2"/>
      <c r="I16" s="2"/>
      <c r="J16" s="2"/>
      <c r="K16" s="2"/>
    </row>
    <row r="17" ht="28.5" customHeight="1" spans="1:11">
      <c r="A17" s="23">
        <v>10</v>
      </c>
      <c r="B17" s="24" t="s">
        <v>525</v>
      </c>
      <c r="C17" s="25" t="s">
        <v>61</v>
      </c>
      <c r="D17" s="25">
        <v>23000</v>
      </c>
      <c r="E17" s="25">
        <v>22725</v>
      </c>
      <c r="F17" s="188" t="s">
        <v>526</v>
      </c>
      <c r="G17" s="27">
        <f>ROUND(E17/2,0)</f>
        <v>11363</v>
      </c>
      <c r="H17" s="27"/>
      <c r="I17" s="27"/>
      <c r="J17" s="27"/>
      <c r="K17" s="27"/>
    </row>
    <row r="18" ht="28.5" customHeight="1" spans="1:11">
      <c r="A18" s="19"/>
      <c r="B18" s="17"/>
      <c r="C18" s="18"/>
      <c r="D18" s="16"/>
      <c r="E18" s="19"/>
      <c r="F18" s="22"/>
      <c r="G18" s="2"/>
      <c r="H18" s="2"/>
      <c r="I18" s="2"/>
      <c r="J18" s="2"/>
      <c r="K18" s="2"/>
    </row>
    <row r="19" ht="28.5" customHeight="1" spans="1:11">
      <c r="A19" s="19"/>
      <c r="B19" s="17"/>
      <c r="C19" s="18"/>
      <c r="D19" s="16"/>
      <c r="E19" s="19"/>
      <c r="F19" s="22"/>
      <c r="G19" s="2"/>
      <c r="H19" s="2"/>
      <c r="I19" s="2"/>
      <c r="J19" s="2"/>
      <c r="K19" s="2"/>
    </row>
    <row r="20" ht="28.5" hidden="1" customHeight="1" spans="1:11">
      <c r="A20" s="28" t="s">
        <v>507</v>
      </c>
      <c r="G20" s="2"/>
      <c r="H20" s="2"/>
      <c r="I20" s="2"/>
      <c r="J20" s="2"/>
      <c r="K20" s="2"/>
    </row>
    <row r="21" ht="28.5" hidden="1" customHeight="1" spans="1:11">
      <c r="A21" s="28" t="s">
        <v>766</v>
      </c>
      <c r="G21" s="2"/>
      <c r="H21" s="2"/>
      <c r="I21" s="2"/>
      <c r="J21" s="2"/>
      <c r="K21" s="2"/>
    </row>
    <row r="22" ht="41.25" hidden="1" customHeight="1" spans="1:11">
      <c r="A22" s="18" t="s">
        <v>509</v>
      </c>
      <c r="B22" s="17" t="s">
        <v>3</v>
      </c>
      <c r="C22" s="18" t="s">
        <v>4</v>
      </c>
      <c r="D22" s="18" t="s">
        <v>5</v>
      </c>
      <c r="E22" s="18" t="s">
        <v>26</v>
      </c>
      <c r="F22" s="5" t="s">
        <v>27</v>
      </c>
      <c r="G22" s="2"/>
      <c r="H22" s="2"/>
      <c r="I22" s="2"/>
      <c r="J22" s="2"/>
      <c r="K22" s="2"/>
    </row>
    <row r="23" ht="28.5" customHeight="1" spans="1:11">
      <c r="A23" s="28"/>
      <c r="B23" s="29"/>
      <c r="C23" s="30"/>
      <c r="D23" s="28"/>
      <c r="E23" s="28"/>
      <c r="F23" s="31"/>
      <c r="G23" s="2"/>
      <c r="H23" s="2"/>
      <c r="I23" s="2"/>
      <c r="J23" s="2"/>
      <c r="K23" s="2"/>
    </row>
    <row r="24" ht="28.5" customHeight="1" spans="1:11">
      <c r="A24" s="2"/>
      <c r="B24" s="32"/>
      <c r="C24" s="33"/>
      <c r="D24" s="2"/>
      <c r="E24" s="2"/>
      <c r="F24" s="22"/>
      <c r="G24" s="2"/>
      <c r="H24" s="2"/>
      <c r="I24" s="2"/>
      <c r="J24" s="2"/>
      <c r="K24" s="2"/>
    </row>
    <row r="25" ht="28.5" customHeight="1" spans="1:11">
      <c r="A25" s="2"/>
      <c r="B25" s="32"/>
      <c r="C25" s="33"/>
      <c r="D25" s="2"/>
      <c r="E25" s="2"/>
      <c r="F25" s="22"/>
      <c r="G25" s="2"/>
      <c r="H25" s="2"/>
      <c r="I25" s="2"/>
      <c r="J25" s="2"/>
      <c r="K25" s="2"/>
    </row>
    <row r="26" ht="28.5" customHeight="1" spans="1:11">
      <c r="A26" s="2"/>
      <c r="B26" s="32"/>
      <c r="C26" s="33"/>
      <c r="D26" s="2"/>
      <c r="E26" s="2"/>
      <c r="F26" s="22"/>
      <c r="G26" s="2"/>
      <c r="H26" s="2"/>
      <c r="I26" s="2"/>
      <c r="J26" s="2"/>
      <c r="K26" s="2"/>
    </row>
    <row r="27" ht="28.5" customHeight="1" spans="1:11">
      <c r="A27" s="2"/>
      <c r="B27" s="32"/>
      <c r="C27" s="33"/>
      <c r="D27" s="2"/>
      <c r="E27" s="2"/>
      <c r="F27" s="22"/>
      <c r="G27" s="2"/>
      <c r="H27" s="2"/>
      <c r="I27" s="2"/>
      <c r="J27" s="2"/>
      <c r="K27" s="2"/>
    </row>
    <row r="28" ht="28.5" customHeight="1" spans="1:11">
      <c r="A28" s="2"/>
      <c r="B28" s="32"/>
      <c r="C28" s="33"/>
      <c r="D28" s="2"/>
      <c r="E28" s="2"/>
      <c r="F28" s="22"/>
      <c r="G28" s="2"/>
      <c r="H28" s="2"/>
      <c r="I28" s="2"/>
      <c r="J28" s="2"/>
      <c r="K28" s="2"/>
    </row>
    <row r="29" ht="28.5" customHeight="1" spans="1:11">
      <c r="A29" s="2"/>
      <c r="B29" s="32"/>
      <c r="C29" s="33"/>
      <c r="D29" s="2"/>
      <c r="E29" s="2"/>
      <c r="F29" s="22"/>
      <c r="G29" s="2"/>
      <c r="H29" s="2"/>
      <c r="I29" s="2"/>
      <c r="J29" s="2"/>
      <c r="K29" s="2"/>
    </row>
    <row r="30" ht="28.5" customHeight="1" spans="1:11">
      <c r="A30" s="2"/>
      <c r="B30" s="32"/>
      <c r="C30" s="33"/>
      <c r="D30" s="2"/>
      <c r="E30" s="2"/>
      <c r="F30" s="22"/>
      <c r="G30" s="2"/>
      <c r="H30" s="2"/>
      <c r="I30" s="2"/>
      <c r="J30" s="2"/>
      <c r="K30" s="2"/>
    </row>
    <row r="31" ht="28.5" customHeight="1" spans="1:11">
      <c r="A31" s="2"/>
      <c r="B31" s="32"/>
      <c r="C31" s="33"/>
      <c r="D31" s="2"/>
      <c r="E31" s="2"/>
      <c r="F31" s="22"/>
      <c r="G31" s="2"/>
      <c r="H31" s="2"/>
      <c r="I31" s="2"/>
      <c r="J31" s="2"/>
      <c r="K31" s="2"/>
    </row>
    <row r="32" ht="28.5" customHeight="1" spans="1:11">
      <c r="A32" s="2"/>
      <c r="B32" s="32"/>
      <c r="C32" s="33"/>
      <c r="D32" s="2"/>
      <c r="E32" s="2"/>
      <c r="F32" s="22"/>
      <c r="G32" s="2"/>
      <c r="H32" s="2"/>
      <c r="I32" s="2"/>
      <c r="J32" s="2"/>
      <c r="K32" s="2"/>
    </row>
    <row r="33" ht="28.5" customHeight="1" spans="1:11">
      <c r="A33" s="2"/>
      <c r="B33" s="32"/>
      <c r="C33" s="33"/>
      <c r="D33" s="2"/>
      <c r="E33" s="2"/>
      <c r="F33" s="22"/>
      <c r="G33" s="2"/>
      <c r="H33" s="2"/>
      <c r="I33" s="2"/>
      <c r="J33" s="2"/>
      <c r="K33" s="2"/>
    </row>
    <row r="34" ht="28.5" customHeight="1" spans="1:11">
      <c r="A34" s="2"/>
      <c r="B34" s="32"/>
      <c r="C34" s="33"/>
      <c r="D34" s="2"/>
      <c r="E34" s="2"/>
      <c r="F34" s="22"/>
      <c r="G34" s="2"/>
      <c r="H34" s="2"/>
      <c r="I34" s="2"/>
      <c r="J34" s="2"/>
      <c r="K34" s="2"/>
    </row>
    <row r="35" ht="28.5" customHeight="1" spans="1:11">
      <c r="A35" s="2"/>
      <c r="B35" s="32"/>
      <c r="C35" s="33"/>
      <c r="D35" s="2"/>
      <c r="E35" s="2"/>
      <c r="F35" s="22"/>
      <c r="G35" s="2"/>
      <c r="H35" s="2"/>
      <c r="I35" s="2"/>
      <c r="J35" s="2"/>
      <c r="K35" s="2"/>
    </row>
    <row r="36" ht="28.5" customHeight="1" spans="1:11">
      <c r="A36" s="2"/>
      <c r="B36" s="32"/>
      <c r="C36" s="33"/>
      <c r="D36" s="2"/>
      <c r="E36" s="2"/>
      <c r="F36" s="22"/>
      <c r="G36" s="2"/>
      <c r="H36" s="2"/>
      <c r="I36" s="2"/>
      <c r="J36" s="2"/>
      <c r="K36" s="2"/>
    </row>
    <row r="37" ht="28.5" customHeight="1" spans="1:11">
      <c r="A37" s="2"/>
      <c r="B37" s="32"/>
      <c r="C37" s="33"/>
      <c r="D37" s="2"/>
      <c r="E37" s="2"/>
      <c r="F37" s="22"/>
      <c r="G37" s="2"/>
      <c r="H37" s="2"/>
      <c r="I37" s="2"/>
      <c r="J37" s="2"/>
      <c r="K37" s="2"/>
    </row>
    <row r="38" ht="28.5" customHeight="1" spans="1:11">
      <c r="A38" s="2"/>
      <c r="B38" s="32"/>
      <c r="C38" s="33"/>
      <c r="D38" s="2"/>
      <c r="E38" s="2"/>
      <c r="F38" s="22"/>
      <c r="G38" s="2"/>
      <c r="H38" s="2"/>
      <c r="I38" s="2"/>
      <c r="J38" s="2"/>
      <c r="K38" s="2"/>
    </row>
    <row r="39" ht="28.5" customHeight="1" spans="1:11">
      <c r="A39" s="2"/>
      <c r="B39" s="32"/>
      <c r="C39" s="33"/>
      <c r="D39" s="2"/>
      <c r="E39" s="2"/>
      <c r="F39" s="22"/>
      <c r="G39" s="2"/>
      <c r="H39" s="2"/>
      <c r="I39" s="2"/>
      <c r="J39" s="2"/>
      <c r="K39" s="2"/>
    </row>
    <row r="40" ht="28.5" customHeight="1" spans="1:11">
      <c r="A40" s="2"/>
      <c r="B40" s="32"/>
      <c r="C40" s="33"/>
      <c r="D40" s="2"/>
      <c r="E40" s="2"/>
      <c r="F40" s="22"/>
      <c r="G40" s="2"/>
      <c r="H40" s="2"/>
      <c r="I40" s="2"/>
      <c r="J40" s="2"/>
      <c r="K40" s="2"/>
    </row>
    <row r="41" ht="28.5" customHeight="1" spans="1:11">
      <c r="A41" s="2"/>
      <c r="B41" s="32"/>
      <c r="C41" s="33"/>
      <c r="D41" s="2"/>
      <c r="E41" s="2"/>
      <c r="F41" s="22"/>
      <c r="G41" s="2"/>
      <c r="H41" s="2"/>
      <c r="I41" s="2"/>
      <c r="J41" s="2"/>
      <c r="K41" s="2"/>
    </row>
    <row r="42" ht="28.5" customHeight="1" spans="1:11">
      <c r="A42" s="2"/>
      <c r="B42" s="32"/>
      <c r="C42" s="33"/>
      <c r="D42" s="2"/>
      <c r="E42" s="2"/>
      <c r="F42" s="22"/>
      <c r="G42" s="2"/>
      <c r="H42" s="2"/>
      <c r="I42" s="2"/>
      <c r="J42" s="2"/>
      <c r="K42" s="2"/>
    </row>
    <row r="43" ht="28.5" customHeight="1" spans="1:11">
      <c r="A43" s="2"/>
      <c r="B43" s="32"/>
      <c r="C43" s="33"/>
      <c r="D43" s="2"/>
      <c r="E43" s="2"/>
      <c r="F43" s="22"/>
      <c r="G43" s="2"/>
      <c r="H43" s="2"/>
      <c r="I43" s="2"/>
      <c r="J43" s="2"/>
      <c r="K43" s="2"/>
    </row>
    <row r="44" ht="28.5" customHeight="1" spans="1:11">
      <c r="A44" s="2"/>
      <c r="B44" s="32"/>
      <c r="C44" s="33"/>
      <c r="D44" s="2"/>
      <c r="E44" s="2"/>
      <c r="F44" s="22"/>
      <c r="G44" s="2"/>
      <c r="H44" s="2"/>
      <c r="I44" s="2"/>
      <c r="J44" s="2"/>
      <c r="K44" s="2"/>
    </row>
    <row r="45" ht="28.5" customHeight="1" spans="1:11">
      <c r="A45" s="2"/>
      <c r="B45" s="32"/>
      <c r="C45" s="33"/>
      <c r="D45" s="2"/>
      <c r="E45" s="2"/>
      <c r="F45" s="22"/>
      <c r="G45" s="2"/>
      <c r="H45" s="2"/>
      <c r="I45" s="2"/>
      <c r="J45" s="2"/>
      <c r="K45" s="2"/>
    </row>
    <row r="46" ht="28.5" customHeight="1" spans="1:11">
      <c r="A46" s="2"/>
      <c r="B46" s="32"/>
      <c r="C46" s="33"/>
      <c r="D46" s="2"/>
      <c r="E46" s="2"/>
      <c r="F46" s="22"/>
      <c r="G46" s="2"/>
      <c r="H46" s="2"/>
      <c r="I46" s="2"/>
      <c r="J46" s="2"/>
      <c r="K46" s="2"/>
    </row>
    <row r="47" ht="28.5" customHeight="1" spans="1:11">
      <c r="A47" s="2"/>
      <c r="B47" s="32"/>
      <c r="C47" s="33"/>
      <c r="D47" s="2"/>
      <c r="E47" s="2"/>
      <c r="F47" s="22"/>
      <c r="G47" s="2"/>
      <c r="H47" s="2"/>
      <c r="I47" s="2"/>
      <c r="J47" s="2"/>
      <c r="K47" s="2"/>
    </row>
    <row r="48" ht="28.5" customHeight="1" spans="1:11">
      <c r="A48" s="2"/>
      <c r="B48" s="32"/>
      <c r="C48" s="33"/>
      <c r="D48" s="2"/>
      <c r="E48" s="2"/>
      <c r="F48" s="22"/>
      <c r="G48" s="2"/>
      <c r="H48" s="2"/>
      <c r="I48" s="2"/>
      <c r="J48" s="2"/>
      <c r="K48" s="2"/>
    </row>
    <row r="49" ht="28.5" customHeight="1" spans="1:11">
      <c r="A49" s="2"/>
      <c r="B49" s="32"/>
      <c r="C49" s="33"/>
      <c r="D49" s="2"/>
      <c r="E49" s="2"/>
      <c r="F49" s="22"/>
      <c r="G49" s="2"/>
      <c r="H49" s="2"/>
      <c r="I49" s="2"/>
      <c r="J49" s="2"/>
      <c r="K49" s="2"/>
    </row>
    <row r="50" ht="28.5" customHeight="1" spans="1:11">
      <c r="A50" s="2"/>
      <c r="B50" s="32"/>
      <c r="C50" s="33"/>
      <c r="D50" s="2"/>
      <c r="E50" s="2"/>
      <c r="F50" s="22"/>
      <c r="G50" s="2"/>
      <c r="H50" s="2"/>
      <c r="I50" s="2"/>
      <c r="J50" s="2"/>
      <c r="K50" s="2"/>
    </row>
    <row r="51" ht="28.5" customHeight="1" spans="1:11">
      <c r="A51" s="2"/>
      <c r="B51" s="32"/>
      <c r="C51" s="33"/>
      <c r="D51" s="2"/>
      <c r="E51" s="2"/>
      <c r="F51" s="22"/>
      <c r="G51" s="2"/>
      <c r="H51" s="2"/>
      <c r="I51" s="2"/>
      <c r="J51" s="2"/>
      <c r="K51" s="2"/>
    </row>
    <row r="52" ht="28.5" customHeight="1" spans="1:11">
      <c r="A52" s="2"/>
      <c r="B52" s="32"/>
      <c r="C52" s="33"/>
      <c r="D52" s="2"/>
      <c r="E52" s="2"/>
      <c r="F52" s="22"/>
      <c r="G52" s="2"/>
      <c r="H52" s="2"/>
      <c r="I52" s="2"/>
      <c r="J52" s="2"/>
      <c r="K52" s="2"/>
    </row>
    <row r="53" ht="28.5" customHeight="1" spans="1:11">
      <c r="A53" s="2"/>
      <c r="B53" s="32"/>
      <c r="C53" s="33"/>
      <c r="D53" s="2"/>
      <c r="E53" s="2"/>
      <c r="F53" s="22"/>
      <c r="G53" s="2"/>
      <c r="H53" s="2"/>
      <c r="I53" s="2"/>
      <c r="J53" s="2"/>
      <c r="K53" s="2"/>
    </row>
    <row r="54" ht="28.5" customHeight="1" spans="1:11">
      <c r="A54" s="2"/>
      <c r="B54" s="32"/>
      <c r="C54" s="33"/>
      <c r="D54" s="2"/>
      <c r="E54" s="2"/>
      <c r="F54" s="22"/>
      <c r="G54" s="2"/>
      <c r="H54" s="2"/>
      <c r="I54" s="2"/>
      <c r="J54" s="2"/>
      <c r="K54" s="2"/>
    </row>
    <row r="55" ht="28.5" customHeight="1" spans="1:11">
      <c r="A55" s="2"/>
      <c r="B55" s="32"/>
      <c r="C55" s="33"/>
      <c r="D55" s="2"/>
      <c r="E55" s="2"/>
      <c r="F55" s="22"/>
      <c r="G55" s="2"/>
      <c r="H55" s="2"/>
      <c r="I55" s="2"/>
      <c r="J55" s="2"/>
      <c r="K55" s="2"/>
    </row>
    <row r="56" ht="28.5" customHeight="1" spans="1:11">
      <c r="A56" s="2"/>
      <c r="B56" s="32"/>
      <c r="C56" s="33"/>
      <c r="D56" s="2"/>
      <c r="E56" s="2"/>
      <c r="F56" s="22"/>
      <c r="G56" s="2"/>
      <c r="H56" s="2"/>
      <c r="I56" s="2"/>
      <c r="J56" s="2"/>
      <c r="K56" s="2"/>
    </row>
    <row r="57" ht="28.5" customHeight="1" spans="1:11">
      <c r="A57" s="2"/>
      <c r="B57" s="32"/>
      <c r="C57" s="33"/>
      <c r="D57" s="2"/>
      <c r="E57" s="2"/>
      <c r="F57" s="22"/>
      <c r="G57" s="2"/>
      <c r="H57" s="2"/>
      <c r="I57" s="2"/>
      <c r="J57" s="2"/>
      <c r="K57" s="2"/>
    </row>
    <row r="58" ht="28.5" customHeight="1" spans="1:11">
      <c r="A58" s="2"/>
      <c r="B58" s="32"/>
      <c r="C58" s="33"/>
      <c r="D58" s="2"/>
      <c r="E58" s="2"/>
      <c r="F58" s="22"/>
      <c r="G58" s="2"/>
      <c r="H58" s="2"/>
      <c r="I58" s="2"/>
      <c r="J58" s="2"/>
      <c r="K58" s="2"/>
    </row>
    <row r="59" ht="28.5" customHeight="1" spans="1:11">
      <c r="A59" s="2"/>
      <c r="B59" s="32"/>
      <c r="C59" s="33"/>
      <c r="D59" s="2"/>
      <c r="E59" s="2"/>
      <c r="F59" s="22"/>
      <c r="G59" s="2"/>
      <c r="H59" s="2"/>
      <c r="I59" s="2"/>
      <c r="J59" s="2"/>
      <c r="K59" s="2"/>
    </row>
    <row r="60" ht="28.5" customHeight="1" spans="1:11">
      <c r="A60" s="2"/>
      <c r="B60" s="32"/>
      <c r="C60" s="33"/>
      <c r="D60" s="2"/>
      <c r="E60" s="2"/>
      <c r="F60" s="22"/>
      <c r="G60" s="2"/>
      <c r="H60" s="2"/>
      <c r="I60" s="2"/>
      <c r="J60" s="2"/>
      <c r="K60" s="2"/>
    </row>
    <row r="61" ht="28.5" customHeight="1" spans="1:11">
      <c r="A61" s="2"/>
      <c r="B61" s="32"/>
      <c r="C61" s="33"/>
      <c r="D61" s="2"/>
      <c r="E61" s="2"/>
      <c r="F61" s="22"/>
      <c r="G61" s="2"/>
      <c r="H61" s="2"/>
      <c r="I61" s="2"/>
      <c r="J61" s="2"/>
      <c r="K61" s="2"/>
    </row>
    <row r="62" ht="28.5" customHeight="1" spans="1:11">
      <c r="A62" s="2"/>
      <c r="B62" s="32"/>
      <c r="C62" s="33"/>
      <c r="D62" s="2"/>
      <c r="E62" s="2"/>
      <c r="F62" s="22"/>
      <c r="G62" s="2"/>
      <c r="H62" s="2"/>
      <c r="I62" s="2"/>
      <c r="J62" s="2"/>
      <c r="K62" s="2"/>
    </row>
    <row r="63" ht="28.5" customHeight="1" spans="1:11">
      <c r="A63" s="2"/>
      <c r="B63" s="32"/>
      <c r="C63" s="33"/>
      <c r="D63" s="2"/>
      <c r="E63" s="2"/>
      <c r="F63" s="22"/>
      <c r="G63" s="2"/>
      <c r="H63" s="2"/>
      <c r="I63" s="2"/>
      <c r="J63" s="2"/>
      <c r="K63" s="2"/>
    </row>
    <row r="64" ht="28.5" customHeight="1" spans="1:11">
      <c r="A64" s="2"/>
      <c r="B64" s="32"/>
      <c r="C64" s="33"/>
      <c r="D64" s="2"/>
      <c r="E64" s="2"/>
      <c r="F64" s="22"/>
      <c r="G64" s="2"/>
      <c r="H64" s="2"/>
      <c r="I64" s="2"/>
      <c r="J64" s="2"/>
      <c r="K64" s="2"/>
    </row>
    <row r="65" ht="28.5" customHeight="1" spans="1:11">
      <c r="A65" s="2"/>
      <c r="B65" s="32"/>
      <c r="C65" s="33"/>
      <c r="D65" s="2"/>
      <c r="E65" s="2"/>
      <c r="F65" s="22"/>
      <c r="G65" s="2"/>
      <c r="H65" s="2"/>
      <c r="I65" s="2"/>
      <c r="J65" s="2"/>
      <c r="K65" s="2"/>
    </row>
    <row r="66" ht="28.5" customHeight="1" spans="1:11">
      <c r="A66" s="2"/>
      <c r="B66" s="32"/>
      <c r="C66" s="33"/>
      <c r="D66" s="2"/>
      <c r="E66" s="2"/>
      <c r="F66" s="22"/>
      <c r="G66" s="2"/>
      <c r="H66" s="2"/>
      <c r="I66" s="2"/>
      <c r="J66" s="2"/>
      <c r="K66" s="2"/>
    </row>
    <row r="67" ht="28.5" customHeight="1" spans="1:11">
      <c r="A67" s="2"/>
      <c r="B67" s="32"/>
      <c r="C67" s="33"/>
      <c r="D67" s="2"/>
      <c r="E67" s="2"/>
      <c r="F67" s="22"/>
      <c r="G67" s="2"/>
      <c r="H67" s="2"/>
      <c r="I67" s="2"/>
      <c r="J67" s="2"/>
      <c r="K67" s="2"/>
    </row>
    <row r="68" ht="28.5" customHeight="1" spans="1:11">
      <c r="A68" s="2"/>
      <c r="B68" s="32"/>
      <c r="C68" s="33"/>
      <c r="D68" s="2"/>
      <c r="E68" s="2"/>
      <c r="F68" s="22"/>
      <c r="G68" s="2"/>
      <c r="H68" s="2"/>
      <c r="I68" s="2"/>
      <c r="J68" s="2"/>
      <c r="K68" s="2"/>
    </row>
    <row r="69" ht="28.5" customHeight="1" spans="1:11">
      <c r="A69" s="2"/>
      <c r="B69" s="32"/>
      <c r="C69" s="33"/>
      <c r="D69" s="2"/>
      <c r="E69" s="2"/>
      <c r="F69" s="22"/>
      <c r="G69" s="2"/>
      <c r="H69" s="2"/>
      <c r="I69" s="2"/>
      <c r="J69" s="2"/>
      <c r="K69" s="2"/>
    </row>
    <row r="70" ht="28.5" customHeight="1" spans="1:11">
      <c r="A70" s="2"/>
      <c r="B70" s="32"/>
      <c r="C70" s="33"/>
      <c r="D70" s="2"/>
      <c r="E70" s="2"/>
      <c r="F70" s="22"/>
      <c r="G70" s="2"/>
      <c r="H70" s="2"/>
      <c r="I70" s="2"/>
      <c r="J70" s="2"/>
      <c r="K70" s="2"/>
    </row>
    <row r="71" ht="28.5" customHeight="1" spans="1:11">
      <c r="A71" s="2"/>
      <c r="B71" s="32"/>
      <c r="C71" s="33"/>
      <c r="D71" s="2"/>
      <c r="E71" s="2"/>
      <c r="F71" s="22"/>
      <c r="G71" s="2"/>
      <c r="H71" s="2"/>
      <c r="I71" s="2"/>
      <c r="J71" s="2"/>
      <c r="K71" s="2"/>
    </row>
    <row r="72" ht="28.5" customHeight="1" spans="1:11">
      <c r="A72" s="2"/>
      <c r="B72" s="32"/>
      <c r="C72" s="33"/>
      <c r="D72" s="2"/>
      <c r="E72" s="2"/>
      <c r="F72" s="22"/>
      <c r="G72" s="2"/>
      <c r="H72" s="2"/>
      <c r="I72" s="2"/>
      <c r="J72" s="2"/>
      <c r="K72" s="2"/>
    </row>
    <row r="73" ht="28.5" customHeight="1" spans="1:11">
      <c r="A73" s="2"/>
      <c r="B73" s="32"/>
      <c r="C73" s="33"/>
      <c r="D73" s="2"/>
      <c r="E73" s="2"/>
      <c r="F73" s="22"/>
      <c r="G73" s="2"/>
      <c r="H73" s="2"/>
      <c r="I73" s="2"/>
      <c r="J73" s="2"/>
      <c r="K73" s="2"/>
    </row>
    <row r="74" ht="28.5" customHeight="1" spans="1:11">
      <c r="A74" s="2"/>
      <c r="B74" s="32"/>
      <c r="C74" s="33"/>
      <c r="D74" s="2"/>
      <c r="E74" s="2"/>
      <c r="F74" s="22"/>
      <c r="G74" s="2"/>
      <c r="H74" s="2"/>
      <c r="I74" s="2"/>
      <c r="J74" s="2"/>
      <c r="K74" s="2"/>
    </row>
    <row r="75" ht="28.5" customHeight="1" spans="1:11">
      <c r="A75" s="2"/>
      <c r="B75" s="32"/>
      <c r="C75" s="33"/>
      <c r="D75" s="2"/>
      <c r="E75" s="2"/>
      <c r="F75" s="22"/>
      <c r="G75" s="2"/>
      <c r="H75" s="2"/>
      <c r="I75" s="2"/>
      <c r="J75" s="2"/>
      <c r="K75" s="2"/>
    </row>
    <row r="76" ht="28.5" customHeight="1" spans="1:11">
      <c r="A76" s="2"/>
      <c r="B76" s="32"/>
      <c r="C76" s="33"/>
      <c r="D76" s="2"/>
      <c r="E76" s="2"/>
      <c r="F76" s="22"/>
      <c r="G76" s="2"/>
      <c r="H76" s="2"/>
      <c r="I76" s="2"/>
      <c r="J76" s="2"/>
      <c r="K76" s="2"/>
    </row>
    <row r="77" ht="28.5" customHeight="1" spans="1:11">
      <c r="A77" s="2"/>
      <c r="B77" s="32"/>
      <c r="C77" s="33"/>
      <c r="D77" s="2"/>
      <c r="E77" s="2"/>
      <c r="F77" s="22"/>
      <c r="G77" s="2"/>
      <c r="H77" s="2"/>
      <c r="I77" s="2"/>
      <c r="J77" s="2"/>
      <c r="K77" s="2"/>
    </row>
    <row r="78" ht="28.5" customHeight="1" spans="1:11">
      <c r="A78" s="2"/>
      <c r="B78" s="32"/>
      <c r="C78" s="33"/>
      <c r="D78" s="2"/>
      <c r="E78" s="2"/>
      <c r="F78" s="22"/>
      <c r="G78" s="2"/>
      <c r="H78" s="2"/>
      <c r="I78" s="2"/>
      <c r="J78" s="2"/>
      <c r="K78" s="2"/>
    </row>
    <row r="79" ht="28.5" customHeight="1" spans="1:11">
      <c r="A79" s="2"/>
      <c r="B79" s="32"/>
      <c r="C79" s="33"/>
      <c r="D79" s="2"/>
      <c r="E79" s="2"/>
      <c r="F79" s="22"/>
      <c r="G79" s="2"/>
      <c r="H79" s="2"/>
      <c r="I79" s="2"/>
      <c r="J79" s="2"/>
      <c r="K79" s="2"/>
    </row>
    <row r="80" ht="28.5" customHeight="1" spans="1:11">
      <c r="A80" s="2"/>
      <c r="B80" s="32"/>
      <c r="C80" s="33"/>
      <c r="D80" s="2"/>
      <c r="E80" s="2"/>
      <c r="F80" s="22"/>
      <c r="G80" s="2"/>
      <c r="H80" s="2"/>
      <c r="I80" s="2"/>
      <c r="J80" s="2"/>
      <c r="K80" s="2"/>
    </row>
    <row r="81" ht="28.5" customHeight="1" spans="1:11">
      <c r="A81" s="2"/>
      <c r="B81" s="32"/>
      <c r="C81" s="33"/>
      <c r="D81" s="2"/>
      <c r="E81" s="2"/>
      <c r="F81" s="22"/>
      <c r="G81" s="2"/>
      <c r="H81" s="2"/>
      <c r="I81" s="2"/>
      <c r="J81" s="2"/>
      <c r="K81" s="2"/>
    </row>
    <row r="82" ht="28.5" customHeight="1" spans="1:11">
      <c r="A82" s="2"/>
      <c r="B82" s="32"/>
      <c r="C82" s="33"/>
      <c r="D82" s="2"/>
      <c r="E82" s="2"/>
      <c r="F82" s="22"/>
      <c r="G82" s="2"/>
      <c r="H82" s="2"/>
      <c r="I82" s="2"/>
      <c r="J82" s="2"/>
      <c r="K82" s="2"/>
    </row>
    <row r="83" ht="28.5" customHeight="1" spans="1:11">
      <c r="A83" s="2"/>
      <c r="B83" s="32"/>
      <c r="C83" s="33"/>
      <c r="D83" s="2"/>
      <c r="E83" s="2"/>
      <c r="F83" s="22"/>
      <c r="G83" s="2"/>
      <c r="H83" s="2"/>
      <c r="I83" s="2"/>
      <c r="J83" s="2"/>
      <c r="K83" s="2"/>
    </row>
    <row r="84" ht="28.5" customHeight="1" spans="1:11">
      <c r="A84" s="2"/>
      <c r="B84" s="32"/>
      <c r="C84" s="33"/>
      <c r="D84" s="2"/>
      <c r="E84" s="2"/>
      <c r="F84" s="22"/>
      <c r="G84" s="2"/>
      <c r="H84" s="2"/>
      <c r="I84" s="2"/>
      <c r="J84" s="2"/>
      <c r="K84" s="2"/>
    </row>
    <row r="85" ht="28.5" customHeight="1" spans="1:11">
      <c r="A85" s="2"/>
      <c r="B85" s="32"/>
      <c r="C85" s="33"/>
      <c r="D85" s="2"/>
      <c r="E85" s="2"/>
      <c r="F85" s="22"/>
      <c r="G85" s="2"/>
      <c r="H85" s="2"/>
      <c r="I85" s="2"/>
      <c r="J85" s="2"/>
      <c r="K85" s="2"/>
    </row>
    <row r="86" ht="28.5" customHeight="1" spans="1:11">
      <c r="A86" s="2"/>
      <c r="B86" s="32"/>
      <c r="C86" s="33"/>
      <c r="D86" s="2"/>
      <c r="E86" s="2"/>
      <c r="F86" s="22"/>
      <c r="G86" s="2"/>
      <c r="H86" s="2"/>
      <c r="I86" s="2"/>
      <c r="J86" s="2"/>
      <c r="K86" s="2"/>
    </row>
    <row r="87" ht="28.5" customHeight="1" spans="1:11">
      <c r="A87" s="2"/>
      <c r="B87" s="32"/>
      <c r="C87" s="33"/>
      <c r="D87" s="2"/>
      <c r="E87" s="2"/>
      <c r="F87" s="22"/>
      <c r="G87" s="2"/>
      <c r="H87" s="2"/>
      <c r="I87" s="2"/>
      <c r="J87" s="2"/>
      <c r="K87" s="2"/>
    </row>
    <row r="88" ht="28.5" customHeight="1" spans="1:11">
      <c r="A88" s="2"/>
      <c r="B88" s="32"/>
      <c r="C88" s="33"/>
      <c r="D88" s="2"/>
      <c r="E88" s="2"/>
      <c r="F88" s="22"/>
      <c r="G88" s="2"/>
      <c r="H88" s="2"/>
      <c r="I88" s="2"/>
      <c r="J88" s="2"/>
      <c r="K88" s="2"/>
    </row>
    <row r="89" ht="28.5" customHeight="1" spans="1:11">
      <c r="A89" s="2"/>
      <c r="B89" s="32"/>
      <c r="C89" s="33"/>
      <c r="D89" s="2"/>
      <c r="E89" s="2"/>
      <c r="F89" s="22"/>
      <c r="G89" s="2"/>
      <c r="H89" s="2"/>
      <c r="I89" s="2"/>
      <c r="J89" s="2"/>
      <c r="K89" s="2"/>
    </row>
    <row r="90" ht="28.5" customHeight="1" spans="1:11">
      <c r="A90" s="2"/>
      <c r="B90" s="32"/>
      <c r="C90" s="33"/>
      <c r="D90" s="2"/>
      <c r="E90" s="2"/>
      <c r="F90" s="22"/>
      <c r="G90" s="2"/>
      <c r="H90" s="2"/>
      <c r="I90" s="2"/>
      <c r="J90" s="2"/>
      <c r="K90" s="2"/>
    </row>
    <row r="91" ht="28.5" customHeight="1" spans="1:11">
      <c r="A91" s="2"/>
      <c r="B91" s="32"/>
      <c r="C91" s="33"/>
      <c r="D91" s="2"/>
      <c r="E91" s="2"/>
      <c r="F91" s="22"/>
      <c r="G91" s="2"/>
      <c r="H91" s="2"/>
      <c r="I91" s="2"/>
      <c r="J91" s="2"/>
      <c r="K91" s="2"/>
    </row>
    <row r="92" ht="28.5" customHeight="1" spans="1:11">
      <c r="A92" s="2"/>
      <c r="B92" s="32"/>
      <c r="C92" s="33"/>
      <c r="D92" s="2"/>
      <c r="E92" s="2"/>
      <c r="F92" s="22"/>
      <c r="G92" s="2"/>
      <c r="H92" s="2"/>
      <c r="I92" s="2"/>
      <c r="J92" s="2"/>
      <c r="K92" s="2"/>
    </row>
    <row r="93" ht="28.5" customHeight="1" spans="1:11">
      <c r="A93" s="2"/>
      <c r="B93" s="32"/>
      <c r="C93" s="33"/>
      <c r="D93" s="2"/>
      <c r="E93" s="2"/>
      <c r="F93" s="22"/>
      <c r="G93" s="2"/>
      <c r="H93" s="2"/>
      <c r="I93" s="2"/>
      <c r="J93" s="2"/>
      <c r="K93" s="2"/>
    </row>
    <row r="94" ht="28.5" customHeight="1" spans="1:11">
      <c r="A94" s="2"/>
      <c r="B94" s="32"/>
      <c r="C94" s="33"/>
      <c r="D94" s="2"/>
      <c r="E94" s="2"/>
      <c r="F94" s="22"/>
      <c r="G94" s="2"/>
      <c r="H94" s="2"/>
      <c r="I94" s="2"/>
      <c r="J94" s="2"/>
      <c r="K94" s="2"/>
    </row>
    <row r="95" ht="28.5" customHeight="1" spans="1:11">
      <c r="A95" s="2"/>
      <c r="B95" s="32"/>
      <c r="C95" s="33"/>
      <c r="D95" s="2"/>
      <c r="E95" s="2"/>
      <c r="F95" s="22"/>
      <c r="G95" s="2"/>
      <c r="H95" s="2"/>
      <c r="I95" s="2"/>
      <c r="J95" s="2"/>
      <c r="K95" s="2"/>
    </row>
    <row r="96" ht="28.5" customHeight="1" spans="1:11">
      <c r="A96" s="2"/>
      <c r="B96" s="32"/>
      <c r="C96" s="33"/>
      <c r="D96" s="2"/>
      <c r="E96" s="2"/>
      <c r="F96" s="22"/>
      <c r="G96" s="2"/>
      <c r="H96" s="2"/>
      <c r="I96" s="2"/>
      <c r="J96" s="2"/>
      <c r="K96" s="2"/>
    </row>
    <row r="97" ht="28.5" customHeight="1" spans="1:11">
      <c r="A97" s="2"/>
      <c r="B97" s="32"/>
      <c r="C97" s="33"/>
      <c r="D97" s="2"/>
      <c r="E97" s="2"/>
      <c r="F97" s="22"/>
      <c r="G97" s="2"/>
      <c r="H97" s="2"/>
      <c r="I97" s="2"/>
      <c r="J97" s="2"/>
      <c r="K97" s="2"/>
    </row>
    <row r="98" ht="28.5" customHeight="1" spans="1:11">
      <c r="A98" s="2"/>
      <c r="B98" s="32"/>
      <c r="C98" s="33"/>
      <c r="D98" s="2"/>
      <c r="E98" s="2"/>
      <c r="F98" s="22"/>
      <c r="G98" s="2"/>
      <c r="H98" s="2"/>
      <c r="I98" s="2"/>
      <c r="J98" s="2"/>
      <c r="K98" s="2"/>
    </row>
    <row r="99" ht="28.5" customHeight="1" spans="1:11">
      <c r="A99" s="2"/>
      <c r="B99" s="32"/>
      <c r="C99" s="33"/>
      <c r="D99" s="2"/>
      <c r="E99" s="2"/>
      <c r="F99" s="22"/>
      <c r="G99" s="2"/>
      <c r="H99" s="2"/>
      <c r="I99" s="2"/>
      <c r="J99" s="2"/>
      <c r="K99" s="2"/>
    </row>
    <row r="100" ht="28.5" customHeight="1" spans="1:11">
      <c r="A100" s="2"/>
      <c r="B100" s="32"/>
      <c r="C100" s="33"/>
      <c r="D100" s="2"/>
      <c r="E100" s="2"/>
      <c r="F100" s="22"/>
      <c r="G100" s="2"/>
      <c r="H100" s="2"/>
      <c r="I100" s="2"/>
      <c r="J100" s="2"/>
      <c r="K100" s="2"/>
    </row>
  </sheetData>
  <autoFilter xmlns:etc="http://www.wps.cn/officeDocument/2017/etCustomData" ref="A1:F15" etc:filterBottomFollowUsedRange="0">
    <extLst/>
  </autoFilter>
  <mergeCells count="4">
    <mergeCell ref="A1:F1"/>
    <mergeCell ref="A2:F2"/>
    <mergeCell ref="A20:F20"/>
    <mergeCell ref="A21:F21"/>
  </mergeCells>
  <printOptions horizontalCentered="1" gridLines="1"/>
  <pageMargins left="0.078740157480315" right="0.078740157480315" top="0.196850393700787" bottom="0.236220472440945" header="0" footer="0"/>
  <pageSetup paperSize="5" scale="5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Teaching</vt:lpstr>
      <vt:lpstr>Teaching (2)</vt:lpstr>
      <vt:lpstr>Teaching (5)</vt:lpstr>
      <vt:lpstr>Teaching (3)</vt:lpstr>
      <vt:lpstr>Teaching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SVCET Principal Offi</dc:creator>
  <cp:lastModifiedBy>swath</cp:lastModifiedBy>
  <dcterms:created xsi:type="dcterms:W3CDTF">2006-09-16T00:00:00Z</dcterms:created>
  <cp:lastPrinted>2026-07-14T09:22:00Z</cp:lastPrinted>
  <dcterms:modified xsi:type="dcterms:W3CDTF">2026-08-12T06:47:32Z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6900F07DCD2142F3935663FED87C3DFA_12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