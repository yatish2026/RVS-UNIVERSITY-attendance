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h\Desktop\"/>
    </mc:Choice>
  </mc:AlternateContent>
  <xr:revisionPtr revIDLastSave="0" documentId="13_ncr:1_{5A6CDCFB-0E0E-4B96-9809-D9EC3EFA658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3" r:id="rId1"/>
    <sheet name="Sheet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4" l="1"/>
  <c r="I30" i="4"/>
  <c r="H29" i="4"/>
  <c r="I29" i="4"/>
  <c r="H28" i="4"/>
  <c r="I28" i="4"/>
  <c r="H27" i="4"/>
  <c r="I27" i="4"/>
  <c r="G40" i="4"/>
  <c r="F40" i="4"/>
  <c r="E40" i="4"/>
  <c r="H36" i="4"/>
  <c r="I36" i="4" s="1"/>
  <c r="H38" i="4"/>
  <c r="I38" i="4" s="1"/>
  <c r="H37" i="4"/>
  <c r="I37" i="4" s="1"/>
  <c r="H32" i="4"/>
  <c r="I32" i="4" s="1"/>
  <c r="H33" i="4"/>
  <c r="I33" i="4" s="1"/>
  <c r="H35" i="4"/>
  <c r="I35" i="4" s="1"/>
  <c r="H34" i="4"/>
  <c r="I34" i="4" s="1"/>
  <c r="H39" i="4"/>
  <c r="I39" i="4" s="1"/>
  <c r="H31" i="4"/>
  <c r="I31" i="4" s="1"/>
  <c r="H26" i="4"/>
  <c r="I26" i="4" s="1"/>
  <c r="H25" i="4"/>
  <c r="I25" i="4" s="1"/>
  <c r="H24" i="4"/>
  <c r="I24" i="4" s="1"/>
  <c r="H23" i="4"/>
  <c r="I23" i="4" s="1"/>
  <c r="H22" i="4"/>
  <c r="I22" i="4" s="1"/>
  <c r="H21" i="4"/>
  <c r="I21" i="4" s="1"/>
  <c r="H19" i="4"/>
  <c r="I19" i="4" s="1"/>
  <c r="H18" i="4"/>
  <c r="I18" i="4" s="1"/>
  <c r="H20" i="4"/>
  <c r="I20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H4" i="4"/>
  <c r="I4" i="4" s="1"/>
  <c r="H60" i="3"/>
  <c r="G60" i="3"/>
  <c r="F60" i="3"/>
  <c r="E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I60" i="3" s="1"/>
  <c r="H4" i="3"/>
  <c r="H40" i="4" l="1"/>
  <c r="I40" i="4"/>
</calcChain>
</file>

<file path=xl/sharedStrings.xml><?xml version="1.0" encoding="utf-8"?>
<sst xmlns="http://schemas.openxmlformats.org/spreadsheetml/2006/main" count="231" uniqueCount="122">
  <si>
    <t>TOTAL</t>
  </si>
  <si>
    <t>Total Pay Days</t>
  </si>
  <si>
    <t>Remarks</t>
  </si>
  <si>
    <t>HR</t>
  </si>
  <si>
    <t>Chittamma</t>
  </si>
  <si>
    <t>Krishna</t>
  </si>
  <si>
    <t>Sl. No.</t>
  </si>
  <si>
    <t>Sri Balaji Facility Services</t>
  </si>
  <si>
    <t xml:space="preserve">SBF SLH June - 2026 No. of Days </t>
  </si>
  <si>
    <t>Biometric No.</t>
  </si>
  <si>
    <t>Name of the Staff</t>
  </si>
  <si>
    <t>Designation</t>
  </si>
  <si>
    <t>Gross salary</t>
  </si>
  <si>
    <t>Biometric Present Days</t>
  </si>
  <si>
    <t>Week off (4)</t>
  </si>
  <si>
    <t>Total Pay</t>
  </si>
  <si>
    <t>Arun Kumar</t>
  </si>
  <si>
    <t>Unit Manager</t>
  </si>
  <si>
    <t>M Sowndarya</t>
  </si>
  <si>
    <t>Supervisor</t>
  </si>
  <si>
    <t>Likhitha</t>
  </si>
  <si>
    <t>Bhargava</t>
  </si>
  <si>
    <t>P Kantamma</t>
  </si>
  <si>
    <t>Sweeper</t>
  </si>
  <si>
    <t>Dhanamma</t>
  </si>
  <si>
    <t>Vijaya Ragini</t>
  </si>
  <si>
    <t>Rejoining: 03.06.2026</t>
  </si>
  <si>
    <t>Sasikala</t>
  </si>
  <si>
    <t>M Sujatha</t>
  </si>
  <si>
    <t>Sulochana</t>
  </si>
  <si>
    <t>Nirosha</t>
  </si>
  <si>
    <t>Meri</t>
  </si>
  <si>
    <t>Jyothamma</t>
  </si>
  <si>
    <t>Rejoing: 07.05.2026</t>
  </si>
  <si>
    <t>Easther</t>
  </si>
  <si>
    <t>Hamsa</t>
  </si>
  <si>
    <t>Ananthamma</t>
  </si>
  <si>
    <t>Bharathi</t>
  </si>
  <si>
    <t>Roja</t>
  </si>
  <si>
    <t>Devaki</t>
  </si>
  <si>
    <t>Lalitha</t>
  </si>
  <si>
    <t>Usha</t>
  </si>
  <si>
    <t>G Meena</t>
  </si>
  <si>
    <t>P Vasntha</t>
  </si>
  <si>
    <t>Sarswathi</t>
  </si>
  <si>
    <t>V Kowsalya</t>
  </si>
  <si>
    <t>K Ammulu</t>
  </si>
  <si>
    <t>Scavenger</t>
  </si>
  <si>
    <t xml:space="preserve">Vasanthamma </t>
  </si>
  <si>
    <t>M Dhanalakshmi</t>
  </si>
  <si>
    <t>Rose</t>
  </si>
  <si>
    <t>Malini</t>
  </si>
  <si>
    <t>Meena</t>
  </si>
  <si>
    <t>Kailash</t>
  </si>
  <si>
    <t>Reena</t>
  </si>
  <si>
    <t>Ritu</t>
  </si>
  <si>
    <t>Sri Sram</t>
  </si>
  <si>
    <t>Kumari Bai</t>
  </si>
  <si>
    <t>Sal Kuwar</t>
  </si>
  <si>
    <t>Gajendra</t>
  </si>
  <si>
    <t>Kumidini</t>
  </si>
  <si>
    <t>Rameswar</t>
  </si>
  <si>
    <t>Lal Sai</t>
  </si>
  <si>
    <t>Kumari Anjali</t>
  </si>
  <si>
    <t>Suraj Kumar</t>
  </si>
  <si>
    <t>Payal</t>
  </si>
  <si>
    <t>Kamal</t>
  </si>
  <si>
    <t>DOJ: 02.06.2026</t>
  </si>
  <si>
    <t>Manisha</t>
  </si>
  <si>
    <t>Azad Ram</t>
  </si>
  <si>
    <t>DOJ: 05.06.2026</t>
  </si>
  <si>
    <t>Raanu</t>
  </si>
  <si>
    <t>Bimal</t>
  </si>
  <si>
    <t>DOJ: 19.06.2026</t>
  </si>
  <si>
    <t>Anil Kumar</t>
  </si>
  <si>
    <t>Dhaneshi Bai</t>
  </si>
  <si>
    <t>Jyothi</t>
  </si>
  <si>
    <t>Ramdhar</t>
  </si>
  <si>
    <t>Padma</t>
  </si>
  <si>
    <t>Principal</t>
  </si>
  <si>
    <t xml:space="preserve">SBF SVCET June  - 2026 No. of Days </t>
  </si>
  <si>
    <t>M Sandeep</t>
  </si>
  <si>
    <t>T Gayathri</t>
  </si>
  <si>
    <t>T Triveni</t>
  </si>
  <si>
    <t>T Rani</t>
  </si>
  <si>
    <t>N Priya</t>
  </si>
  <si>
    <t>P Bhuneswari</t>
  </si>
  <si>
    <t>A. Susila</t>
  </si>
  <si>
    <t>T Sukamma</t>
  </si>
  <si>
    <t>jaya lakshmi</t>
  </si>
  <si>
    <t>C S Rajma Lakshmi</t>
  </si>
  <si>
    <t>T Sulochana</t>
  </si>
  <si>
    <t>M Sasi</t>
  </si>
  <si>
    <t>M Lakshmi</t>
  </si>
  <si>
    <t>T. Kasthuri</t>
  </si>
  <si>
    <r>
      <rPr>
        <sz val="12"/>
        <color rgb="FF000000"/>
        <rFont val="Times New Roman"/>
      </rPr>
      <t>T Anu Rada</t>
    </r>
    <r>
      <rPr>
        <sz val="12"/>
        <color rgb="FF000000"/>
        <rFont val="Times New Roman"/>
      </rPr>
      <t xml:space="preserve"> </t>
    </r>
  </si>
  <si>
    <t>O Chandrika</t>
  </si>
  <si>
    <t>V. Revathi</t>
  </si>
  <si>
    <t>D Chandrakala</t>
  </si>
  <si>
    <t>Jayamma</t>
  </si>
  <si>
    <t>T. Rajeswari</t>
  </si>
  <si>
    <t>T. Lavanya</t>
  </si>
  <si>
    <t>Ramavathar</t>
  </si>
  <si>
    <t>kabitha</t>
  </si>
  <si>
    <t>Raju</t>
  </si>
  <si>
    <t>DOJ: 04.05.2026</t>
  </si>
  <si>
    <t>Sona Reena</t>
  </si>
  <si>
    <t>Shankar</t>
  </si>
  <si>
    <t>Deepak</t>
  </si>
  <si>
    <t>DOJ:09.06.2026</t>
  </si>
  <si>
    <t>Basanthi</t>
  </si>
  <si>
    <t>Roop Sai</t>
  </si>
  <si>
    <t>Bb. Divya</t>
  </si>
  <si>
    <t>01.07.2026</t>
  </si>
  <si>
    <t>M. Dilli Babu</t>
  </si>
  <si>
    <t>D. Kavya</t>
  </si>
  <si>
    <t>N. Roja</t>
  </si>
  <si>
    <t>V. Savithri</t>
  </si>
  <si>
    <t>K. Ramamani</t>
  </si>
  <si>
    <t>17.07.2026</t>
  </si>
  <si>
    <t>11.07.2026</t>
  </si>
  <si>
    <t>26.07.2026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</si>
</sst>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b/>
      <sz val="12"/>
      <color rgb="FF000000"/>
      <name val="Times New Roman"/>
    </font>
    <font>
      <sz val="12"/>
      <color theme="1"/>
      <name val="Times New Roman"/>
      <charset val="134"/>
    </font>
    <font>
      <sz val="12"/>
      <color rgb="FF000000"/>
      <name val="Times New Roman"/>
    </font>
    <font>
      <sz val="12"/>
      <color theme="3" tint="-0.499984740745262"/>
      <name val="Times New Roman"/>
      <family val="1"/>
    </font>
    <font>
      <sz val="12"/>
      <color theme="2" tint="-0.749992370372631"/>
      <name val="Times New Roman"/>
      <family val="1"/>
    </font>
    <font>
      <b/>
      <sz val="12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3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2" borderId="2" xfId="0" quotePrefix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0" fillId="0" borderId="1" xfId="0" applyBorder="1"/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9F9A-891B-451D-9D31-15140D020C71}">
  <dimension ref="A1:J72"/>
  <sheetViews>
    <sheetView workbookViewId="0">
      <selection sqref="A1:XFD1048576"/>
    </sheetView>
  </sheetViews>
  <sheetFormatPr defaultColWidth="8.7265625" defaultRowHeight="15.5"/>
  <cols>
    <col min="1" max="1" width="8.7265625" style="1"/>
    <col min="2" max="2" width="11.6328125" style="1" customWidth="1"/>
    <col min="3" max="3" width="17.6328125" style="1" bestFit="1" customWidth="1"/>
    <col min="4" max="4" width="13" style="1" bestFit="1" customWidth="1"/>
    <col min="5" max="5" width="8.26953125" style="1" customWidth="1"/>
    <col min="6" max="6" width="9.90625" style="1" customWidth="1"/>
    <col min="7" max="7" width="7.1796875" style="1" customWidth="1"/>
    <col min="8" max="9" width="10" style="1" customWidth="1"/>
    <col min="10" max="10" width="20.36328125" style="1" customWidth="1"/>
    <col min="11" max="11" width="11.26953125" style="1" customWidth="1"/>
    <col min="12" max="12" width="12.26953125" style="1" customWidth="1"/>
    <col min="13" max="13" width="11.7265625" style="1" customWidth="1"/>
    <col min="14" max="16384" width="8.7265625" style="1"/>
  </cols>
  <sheetData>
    <row r="1" spans="1:10" ht="25" customHeight="1">
      <c r="A1" s="60" t="s">
        <v>7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ht="25" customHeight="1">
      <c r="A2" s="60" t="s">
        <v>8</v>
      </c>
      <c r="B2" s="60"/>
      <c r="C2" s="60"/>
      <c r="D2" s="60"/>
      <c r="E2" s="60"/>
      <c r="F2" s="60"/>
      <c r="G2" s="60"/>
      <c r="H2" s="60"/>
      <c r="I2" s="60"/>
      <c r="J2" s="60"/>
    </row>
    <row r="3" spans="1:10" ht="45">
      <c r="A3" s="2" t="s">
        <v>6</v>
      </c>
      <c r="B3" s="2" t="s">
        <v>9</v>
      </c>
      <c r="C3" s="3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</v>
      </c>
      <c r="I3" s="4" t="s">
        <v>15</v>
      </c>
      <c r="J3" s="2" t="s">
        <v>2</v>
      </c>
    </row>
    <row r="4" spans="1:10" ht="29" customHeight="1">
      <c r="A4" s="5">
        <v>1</v>
      </c>
      <c r="B4" s="5">
        <v>4530</v>
      </c>
      <c r="C4" s="6" t="s">
        <v>16</v>
      </c>
      <c r="D4" s="5" t="s">
        <v>17</v>
      </c>
      <c r="E4" s="5">
        <v>23000</v>
      </c>
      <c r="F4" s="7">
        <v>26</v>
      </c>
      <c r="G4" s="7">
        <v>4</v>
      </c>
      <c r="H4" s="5">
        <f>F4+G4</f>
        <v>30</v>
      </c>
      <c r="I4" s="8">
        <f>E4/30*H4</f>
        <v>23000</v>
      </c>
      <c r="J4" s="5"/>
    </row>
    <row r="5" spans="1:10" ht="29" customHeight="1">
      <c r="A5" s="5">
        <v>2</v>
      </c>
      <c r="B5" s="5">
        <v>4053</v>
      </c>
      <c r="C5" s="6" t="s">
        <v>18</v>
      </c>
      <c r="D5" s="5" t="s">
        <v>19</v>
      </c>
      <c r="E5" s="5">
        <v>15500</v>
      </c>
      <c r="F5" s="7">
        <v>20</v>
      </c>
      <c r="G5" s="7">
        <v>3</v>
      </c>
      <c r="H5" s="5">
        <f>F5+G5</f>
        <v>23</v>
      </c>
      <c r="I5" s="8">
        <f t="shared" ref="I5:I59" si="0">E5/30*H5</f>
        <v>11883.333333333332</v>
      </c>
      <c r="J5" s="5"/>
    </row>
    <row r="6" spans="1:10" ht="29" customHeight="1">
      <c r="A6" s="5">
        <v>3</v>
      </c>
      <c r="B6" s="5">
        <v>4570</v>
      </c>
      <c r="C6" s="6" t="s">
        <v>20</v>
      </c>
      <c r="D6" s="5" t="s">
        <v>19</v>
      </c>
      <c r="E6" s="5">
        <v>15500</v>
      </c>
      <c r="F6" s="7">
        <v>26</v>
      </c>
      <c r="G6" s="7">
        <v>4</v>
      </c>
      <c r="H6" s="5">
        <f>F6+G6</f>
        <v>30</v>
      </c>
      <c r="I6" s="8">
        <f t="shared" si="0"/>
        <v>15499.999999999998</v>
      </c>
      <c r="J6" s="9"/>
    </row>
    <row r="7" spans="1:10" ht="29" customHeight="1">
      <c r="A7" s="5">
        <v>4</v>
      </c>
      <c r="B7" s="5">
        <v>4564</v>
      </c>
      <c r="C7" s="6" t="s">
        <v>21</v>
      </c>
      <c r="D7" s="5" t="s">
        <v>19</v>
      </c>
      <c r="E7" s="5">
        <v>15500</v>
      </c>
      <c r="F7" s="7">
        <v>26</v>
      </c>
      <c r="G7" s="7">
        <v>4</v>
      </c>
      <c r="H7" s="5">
        <f>F7+G7</f>
        <v>30</v>
      </c>
      <c r="I7" s="8">
        <f t="shared" si="0"/>
        <v>15499.999999999998</v>
      </c>
      <c r="J7" s="5"/>
    </row>
    <row r="8" spans="1:10" ht="29" customHeight="1">
      <c r="A8" s="5">
        <v>5</v>
      </c>
      <c r="B8" s="5">
        <v>4068</v>
      </c>
      <c r="C8" s="10" t="s">
        <v>22</v>
      </c>
      <c r="D8" s="5" t="s">
        <v>23</v>
      </c>
      <c r="E8" s="5">
        <v>10000</v>
      </c>
      <c r="F8" s="7">
        <v>26</v>
      </c>
      <c r="G8" s="7">
        <v>4</v>
      </c>
      <c r="H8" s="5">
        <f t="shared" ref="H8:H59" si="1">G8+F8</f>
        <v>30</v>
      </c>
      <c r="I8" s="8">
        <f t="shared" si="0"/>
        <v>10000</v>
      </c>
      <c r="J8" s="5"/>
    </row>
    <row r="9" spans="1:10" ht="29" customHeight="1">
      <c r="A9" s="5">
        <v>6</v>
      </c>
      <c r="B9" s="11">
        <v>4339</v>
      </c>
      <c r="C9" s="12" t="s">
        <v>24</v>
      </c>
      <c r="D9" s="5" t="s">
        <v>23</v>
      </c>
      <c r="E9" s="5">
        <v>10000</v>
      </c>
      <c r="F9" s="7">
        <v>26</v>
      </c>
      <c r="G9" s="7">
        <v>4</v>
      </c>
      <c r="H9" s="5">
        <f t="shared" si="1"/>
        <v>30</v>
      </c>
      <c r="I9" s="8">
        <f t="shared" si="0"/>
        <v>10000</v>
      </c>
      <c r="J9" s="5"/>
    </row>
    <row r="10" spans="1:10" ht="29" customHeight="1">
      <c r="A10" s="5">
        <v>7</v>
      </c>
      <c r="B10" s="5">
        <v>4094</v>
      </c>
      <c r="C10" s="6" t="s">
        <v>25</v>
      </c>
      <c r="D10" s="5" t="s">
        <v>23</v>
      </c>
      <c r="E10" s="5">
        <v>10000</v>
      </c>
      <c r="F10" s="7">
        <v>26</v>
      </c>
      <c r="G10" s="7">
        <v>2</v>
      </c>
      <c r="H10" s="5">
        <f t="shared" si="1"/>
        <v>28</v>
      </c>
      <c r="I10" s="8">
        <f t="shared" si="0"/>
        <v>9333.3333333333321</v>
      </c>
      <c r="J10" s="5" t="s">
        <v>26</v>
      </c>
    </row>
    <row r="11" spans="1:10" ht="29" customHeight="1">
      <c r="A11" s="5">
        <v>8</v>
      </c>
      <c r="B11" s="13">
        <v>4524</v>
      </c>
      <c r="C11" s="14" t="s">
        <v>27</v>
      </c>
      <c r="D11" s="5" t="s">
        <v>23</v>
      </c>
      <c r="E11" s="5">
        <v>10000</v>
      </c>
      <c r="F11" s="7">
        <v>26</v>
      </c>
      <c r="G11" s="7">
        <v>4</v>
      </c>
      <c r="H11" s="5">
        <f t="shared" si="1"/>
        <v>30</v>
      </c>
      <c r="I11" s="8">
        <f t="shared" si="0"/>
        <v>10000</v>
      </c>
      <c r="J11" s="9"/>
    </row>
    <row r="12" spans="1:10" ht="29" customHeight="1">
      <c r="A12" s="5">
        <v>9</v>
      </c>
      <c r="B12" s="11">
        <v>4529</v>
      </c>
      <c r="C12" s="6" t="s">
        <v>28</v>
      </c>
      <c r="D12" s="5" t="s">
        <v>23</v>
      </c>
      <c r="E12" s="5">
        <v>10000</v>
      </c>
      <c r="F12" s="7">
        <v>24</v>
      </c>
      <c r="G12" s="7">
        <v>4</v>
      </c>
      <c r="H12" s="5">
        <f t="shared" si="1"/>
        <v>28</v>
      </c>
      <c r="I12" s="8">
        <f t="shared" si="0"/>
        <v>9333.3333333333321</v>
      </c>
      <c r="J12" s="5"/>
    </row>
    <row r="13" spans="1:10" ht="29" customHeight="1">
      <c r="A13" s="5">
        <v>10</v>
      </c>
      <c r="B13" s="11">
        <v>4060</v>
      </c>
      <c r="C13" s="6" t="s">
        <v>4</v>
      </c>
      <c r="D13" s="5" t="s">
        <v>23</v>
      </c>
      <c r="E13" s="5">
        <v>10000</v>
      </c>
      <c r="F13" s="7">
        <v>26</v>
      </c>
      <c r="G13" s="7">
        <v>4</v>
      </c>
      <c r="H13" s="5">
        <f t="shared" si="1"/>
        <v>30</v>
      </c>
      <c r="I13" s="8">
        <f t="shared" si="0"/>
        <v>10000</v>
      </c>
      <c r="J13" s="5"/>
    </row>
    <row r="14" spans="1:10" ht="29" customHeight="1">
      <c r="A14" s="5">
        <v>11</v>
      </c>
      <c r="B14" s="5">
        <v>4332</v>
      </c>
      <c r="C14" s="15" t="s">
        <v>29</v>
      </c>
      <c r="D14" s="5" t="s">
        <v>23</v>
      </c>
      <c r="E14" s="5">
        <v>10000</v>
      </c>
      <c r="F14" s="7">
        <v>26</v>
      </c>
      <c r="G14" s="7">
        <v>4</v>
      </c>
      <c r="H14" s="5">
        <f t="shared" si="1"/>
        <v>30</v>
      </c>
      <c r="I14" s="8">
        <f t="shared" si="0"/>
        <v>10000</v>
      </c>
      <c r="J14" s="5"/>
    </row>
    <row r="15" spans="1:10" ht="29" customHeight="1">
      <c r="A15" s="5">
        <v>12</v>
      </c>
      <c r="B15" s="5">
        <v>4561</v>
      </c>
      <c r="C15" s="10" t="s">
        <v>30</v>
      </c>
      <c r="D15" s="5" t="s">
        <v>23</v>
      </c>
      <c r="E15" s="5">
        <v>10000</v>
      </c>
      <c r="F15" s="7">
        <v>23</v>
      </c>
      <c r="G15" s="7">
        <v>4</v>
      </c>
      <c r="H15" s="5">
        <f t="shared" si="1"/>
        <v>27</v>
      </c>
      <c r="I15" s="8">
        <f t="shared" si="0"/>
        <v>9000</v>
      </c>
      <c r="J15" s="9"/>
    </row>
    <row r="16" spans="1:10" ht="29" customHeight="1">
      <c r="A16" s="5">
        <v>13</v>
      </c>
      <c r="B16" s="5">
        <v>4560</v>
      </c>
      <c r="C16" s="10" t="s">
        <v>31</v>
      </c>
      <c r="D16" s="5" t="s">
        <v>23</v>
      </c>
      <c r="E16" s="5">
        <v>10000</v>
      </c>
      <c r="F16" s="7">
        <v>26</v>
      </c>
      <c r="G16" s="7">
        <v>4</v>
      </c>
      <c r="H16" s="5">
        <f t="shared" si="1"/>
        <v>30</v>
      </c>
      <c r="I16" s="8">
        <f t="shared" si="0"/>
        <v>10000</v>
      </c>
      <c r="J16" s="9"/>
    </row>
    <row r="17" spans="1:10" ht="29" customHeight="1">
      <c r="A17" s="5">
        <v>14</v>
      </c>
      <c r="B17" s="5">
        <v>4510</v>
      </c>
      <c r="C17" s="10" t="s">
        <v>32</v>
      </c>
      <c r="D17" s="5" t="s">
        <v>23</v>
      </c>
      <c r="E17" s="5">
        <v>10000</v>
      </c>
      <c r="F17" s="7">
        <v>26</v>
      </c>
      <c r="G17" s="7">
        <v>4</v>
      </c>
      <c r="H17" s="5">
        <f t="shared" si="1"/>
        <v>30</v>
      </c>
      <c r="I17" s="8">
        <f t="shared" si="0"/>
        <v>10000</v>
      </c>
      <c r="J17" s="9" t="s">
        <v>33</v>
      </c>
    </row>
    <row r="18" spans="1:10" ht="29" customHeight="1">
      <c r="A18" s="5">
        <v>15</v>
      </c>
      <c r="B18" s="11">
        <v>4569</v>
      </c>
      <c r="C18" s="16" t="s">
        <v>34</v>
      </c>
      <c r="D18" s="11" t="s">
        <v>23</v>
      </c>
      <c r="E18" s="11">
        <v>10000</v>
      </c>
      <c r="F18" s="17">
        <v>26</v>
      </c>
      <c r="G18" s="7">
        <v>4</v>
      </c>
      <c r="H18" s="5">
        <f t="shared" si="1"/>
        <v>30</v>
      </c>
      <c r="I18" s="8">
        <f t="shared" si="0"/>
        <v>10000</v>
      </c>
      <c r="J18" s="9"/>
    </row>
    <row r="19" spans="1:10" ht="29" customHeight="1">
      <c r="A19" s="5">
        <v>16</v>
      </c>
      <c r="B19" s="5">
        <v>4567</v>
      </c>
      <c r="C19" s="6" t="s">
        <v>35</v>
      </c>
      <c r="D19" s="5" t="s">
        <v>23</v>
      </c>
      <c r="E19" s="5">
        <v>10000</v>
      </c>
      <c r="F19" s="7">
        <v>26</v>
      </c>
      <c r="G19" s="7">
        <v>4</v>
      </c>
      <c r="H19" s="5">
        <f t="shared" si="1"/>
        <v>30</v>
      </c>
      <c r="I19" s="8">
        <f t="shared" si="0"/>
        <v>10000</v>
      </c>
      <c r="J19" s="9"/>
    </row>
    <row r="20" spans="1:10" ht="29" customHeight="1">
      <c r="A20" s="5">
        <v>17</v>
      </c>
      <c r="B20" s="5">
        <v>4566</v>
      </c>
      <c r="C20" s="6" t="s">
        <v>36</v>
      </c>
      <c r="D20" s="5" t="s">
        <v>23</v>
      </c>
      <c r="E20" s="5">
        <v>10000</v>
      </c>
      <c r="F20" s="7">
        <v>26</v>
      </c>
      <c r="G20" s="7">
        <v>4</v>
      </c>
      <c r="H20" s="5">
        <f t="shared" si="1"/>
        <v>30</v>
      </c>
      <c r="I20" s="8">
        <f t="shared" si="0"/>
        <v>10000</v>
      </c>
      <c r="J20" s="9"/>
    </row>
    <row r="21" spans="1:10" ht="29" customHeight="1">
      <c r="A21" s="5">
        <v>18</v>
      </c>
      <c r="B21" s="5">
        <v>4565</v>
      </c>
      <c r="C21" s="6" t="s">
        <v>37</v>
      </c>
      <c r="D21" s="5" t="s">
        <v>23</v>
      </c>
      <c r="E21" s="5">
        <v>10000</v>
      </c>
      <c r="F21" s="7">
        <v>26</v>
      </c>
      <c r="G21" s="7">
        <v>4</v>
      </c>
      <c r="H21" s="5">
        <f t="shared" si="1"/>
        <v>30</v>
      </c>
      <c r="I21" s="8">
        <f t="shared" si="0"/>
        <v>10000</v>
      </c>
      <c r="J21" s="9"/>
    </row>
    <row r="22" spans="1:10" ht="29" customHeight="1">
      <c r="A22" s="5">
        <v>19</v>
      </c>
      <c r="B22" s="5">
        <v>4303</v>
      </c>
      <c r="C22" s="6" t="s">
        <v>38</v>
      </c>
      <c r="D22" s="5" t="s">
        <v>23</v>
      </c>
      <c r="E22" s="5">
        <v>10000</v>
      </c>
      <c r="F22" s="7">
        <v>26</v>
      </c>
      <c r="G22" s="7">
        <v>4</v>
      </c>
      <c r="H22" s="5">
        <f t="shared" si="1"/>
        <v>30</v>
      </c>
      <c r="I22" s="8">
        <f t="shared" si="0"/>
        <v>10000</v>
      </c>
      <c r="J22" s="9"/>
    </row>
    <row r="23" spans="1:10" ht="29" customHeight="1">
      <c r="A23" s="5">
        <v>20</v>
      </c>
      <c r="B23" s="5">
        <v>4571</v>
      </c>
      <c r="C23" s="6" t="s">
        <v>39</v>
      </c>
      <c r="D23" s="5" t="s">
        <v>23</v>
      </c>
      <c r="E23" s="5">
        <v>10000</v>
      </c>
      <c r="F23" s="7">
        <v>24</v>
      </c>
      <c r="G23" s="7">
        <v>4</v>
      </c>
      <c r="H23" s="5">
        <f t="shared" si="1"/>
        <v>28</v>
      </c>
      <c r="I23" s="8">
        <f t="shared" si="0"/>
        <v>9333.3333333333321</v>
      </c>
      <c r="J23" s="9"/>
    </row>
    <row r="24" spans="1:10" ht="29" customHeight="1">
      <c r="A24" s="5">
        <v>21</v>
      </c>
      <c r="B24" s="5">
        <v>4581</v>
      </c>
      <c r="C24" s="10" t="s">
        <v>40</v>
      </c>
      <c r="D24" s="5" t="s">
        <v>23</v>
      </c>
      <c r="E24" s="5">
        <v>10000</v>
      </c>
      <c r="F24" s="7">
        <v>24</v>
      </c>
      <c r="G24" s="7">
        <v>4</v>
      </c>
      <c r="H24" s="5">
        <f t="shared" si="1"/>
        <v>28</v>
      </c>
      <c r="I24" s="8">
        <f t="shared" si="0"/>
        <v>9333.3333333333321</v>
      </c>
      <c r="J24" s="9"/>
    </row>
    <row r="25" spans="1:10" ht="29" customHeight="1">
      <c r="A25" s="5">
        <v>22</v>
      </c>
      <c r="B25" s="5">
        <v>4057</v>
      </c>
      <c r="C25" s="6" t="s">
        <v>41</v>
      </c>
      <c r="D25" s="5" t="s">
        <v>23</v>
      </c>
      <c r="E25" s="5">
        <v>10000</v>
      </c>
      <c r="F25" s="7">
        <v>26</v>
      </c>
      <c r="G25" s="7">
        <v>4</v>
      </c>
      <c r="H25" s="5">
        <f t="shared" si="1"/>
        <v>30</v>
      </c>
      <c r="I25" s="8">
        <f t="shared" si="0"/>
        <v>10000</v>
      </c>
      <c r="J25" s="5"/>
    </row>
    <row r="26" spans="1:10" ht="29" customHeight="1">
      <c r="A26" s="5">
        <v>23</v>
      </c>
      <c r="B26" s="5">
        <v>4582</v>
      </c>
      <c r="C26" s="6" t="s">
        <v>42</v>
      </c>
      <c r="D26" s="5" t="s">
        <v>23</v>
      </c>
      <c r="E26" s="5">
        <v>10000</v>
      </c>
      <c r="F26" s="7">
        <v>26</v>
      </c>
      <c r="G26" s="7">
        <v>4</v>
      </c>
      <c r="H26" s="5">
        <f t="shared" si="1"/>
        <v>30</v>
      </c>
      <c r="I26" s="8">
        <f t="shared" si="0"/>
        <v>10000</v>
      </c>
      <c r="J26" s="9"/>
    </row>
    <row r="27" spans="1:10" ht="29" customHeight="1">
      <c r="A27" s="5">
        <v>24</v>
      </c>
      <c r="B27" s="5">
        <v>4579</v>
      </c>
      <c r="C27" s="10" t="s">
        <v>43</v>
      </c>
      <c r="D27" s="5" t="s">
        <v>23</v>
      </c>
      <c r="E27" s="5">
        <v>10000</v>
      </c>
      <c r="F27" s="7">
        <v>19</v>
      </c>
      <c r="G27" s="7">
        <v>3</v>
      </c>
      <c r="H27" s="5">
        <f t="shared" si="1"/>
        <v>22</v>
      </c>
      <c r="I27" s="8">
        <f t="shared" si="0"/>
        <v>7333.333333333333</v>
      </c>
      <c r="J27" s="9"/>
    </row>
    <row r="28" spans="1:10" ht="29" customHeight="1">
      <c r="A28" s="5">
        <v>25</v>
      </c>
      <c r="B28" s="5">
        <v>4578</v>
      </c>
      <c r="C28" s="10" t="s">
        <v>44</v>
      </c>
      <c r="D28" s="5" t="s">
        <v>23</v>
      </c>
      <c r="E28" s="5">
        <v>10000</v>
      </c>
      <c r="F28" s="7">
        <v>26</v>
      </c>
      <c r="G28" s="7">
        <v>4</v>
      </c>
      <c r="H28" s="5">
        <f t="shared" si="1"/>
        <v>30</v>
      </c>
      <c r="I28" s="8">
        <f t="shared" si="0"/>
        <v>10000</v>
      </c>
      <c r="J28" s="9"/>
    </row>
    <row r="29" spans="1:10" ht="29" customHeight="1">
      <c r="A29" s="5">
        <v>26</v>
      </c>
      <c r="B29" s="11">
        <v>4067</v>
      </c>
      <c r="C29" s="6" t="s">
        <v>45</v>
      </c>
      <c r="D29" s="5" t="s">
        <v>23</v>
      </c>
      <c r="E29" s="5">
        <v>10000</v>
      </c>
      <c r="F29" s="7">
        <v>4</v>
      </c>
      <c r="G29" s="7">
        <v>0</v>
      </c>
      <c r="H29" s="5">
        <f t="shared" si="1"/>
        <v>4</v>
      </c>
      <c r="I29" s="8">
        <f t="shared" si="0"/>
        <v>1333.3333333333333</v>
      </c>
      <c r="J29" s="5"/>
    </row>
    <row r="30" spans="1:10" ht="29" customHeight="1">
      <c r="A30" s="5">
        <v>27</v>
      </c>
      <c r="B30" s="11">
        <v>4523</v>
      </c>
      <c r="C30" s="6" t="s">
        <v>46</v>
      </c>
      <c r="D30" s="5" t="s">
        <v>47</v>
      </c>
      <c r="E30" s="5">
        <v>15000</v>
      </c>
      <c r="F30" s="7">
        <v>26</v>
      </c>
      <c r="G30" s="7">
        <v>4</v>
      </c>
      <c r="H30" s="5">
        <f t="shared" si="1"/>
        <v>30</v>
      </c>
      <c r="I30" s="8">
        <f t="shared" si="0"/>
        <v>15000</v>
      </c>
      <c r="J30" s="5"/>
    </row>
    <row r="31" spans="1:10" ht="29" customHeight="1">
      <c r="A31" s="5">
        <v>28</v>
      </c>
      <c r="B31" s="11">
        <v>4482</v>
      </c>
      <c r="C31" s="6" t="s">
        <v>48</v>
      </c>
      <c r="D31" s="5" t="s">
        <v>47</v>
      </c>
      <c r="E31" s="5">
        <v>15000</v>
      </c>
      <c r="F31" s="7">
        <v>26</v>
      </c>
      <c r="G31" s="7">
        <v>4</v>
      </c>
      <c r="H31" s="5">
        <f t="shared" si="1"/>
        <v>30</v>
      </c>
      <c r="I31" s="8">
        <f t="shared" si="0"/>
        <v>15000</v>
      </c>
      <c r="J31" s="5"/>
    </row>
    <row r="32" spans="1:10" ht="29" customHeight="1">
      <c r="A32" s="5">
        <v>29</v>
      </c>
      <c r="B32" s="11">
        <v>4324</v>
      </c>
      <c r="C32" s="6" t="s">
        <v>49</v>
      </c>
      <c r="D32" s="5" t="s">
        <v>47</v>
      </c>
      <c r="E32" s="5">
        <v>15000</v>
      </c>
      <c r="F32" s="7">
        <v>26</v>
      </c>
      <c r="G32" s="7">
        <v>4</v>
      </c>
      <c r="H32" s="5">
        <f t="shared" si="1"/>
        <v>30</v>
      </c>
      <c r="I32" s="8">
        <f t="shared" si="0"/>
        <v>15000</v>
      </c>
      <c r="J32" s="5"/>
    </row>
    <row r="33" spans="1:10" ht="29" customHeight="1">
      <c r="A33" s="5">
        <v>30</v>
      </c>
      <c r="B33" s="18">
        <v>4568</v>
      </c>
      <c r="C33" s="19" t="s">
        <v>50</v>
      </c>
      <c r="D33" s="20" t="s">
        <v>47</v>
      </c>
      <c r="E33" s="20">
        <v>15000</v>
      </c>
      <c r="F33" s="21">
        <v>24</v>
      </c>
      <c r="G33" s="21">
        <v>4</v>
      </c>
      <c r="H33" s="20">
        <f t="shared" si="1"/>
        <v>28</v>
      </c>
      <c r="I33" s="8">
        <f t="shared" si="0"/>
        <v>14000</v>
      </c>
      <c r="J33" s="9"/>
    </row>
    <row r="34" spans="1:10" ht="29" customHeight="1">
      <c r="A34" s="5">
        <v>31</v>
      </c>
      <c r="B34" s="5">
        <v>4076</v>
      </c>
      <c r="C34" s="6" t="s">
        <v>51</v>
      </c>
      <c r="D34" s="5" t="s">
        <v>23</v>
      </c>
      <c r="E34" s="5">
        <v>10000</v>
      </c>
      <c r="F34" s="7">
        <v>22</v>
      </c>
      <c r="G34" s="7">
        <v>4</v>
      </c>
      <c r="H34" s="5">
        <f t="shared" si="1"/>
        <v>26</v>
      </c>
      <c r="I34" s="8">
        <f t="shared" si="0"/>
        <v>8666.6666666666661</v>
      </c>
      <c r="J34" s="9"/>
    </row>
    <row r="35" spans="1:10" ht="29" customHeight="1">
      <c r="A35" s="5">
        <v>32</v>
      </c>
      <c r="B35" s="13">
        <v>4573</v>
      </c>
      <c r="C35" s="14" t="s">
        <v>52</v>
      </c>
      <c r="D35" s="22" t="s">
        <v>47</v>
      </c>
      <c r="E35" s="22">
        <v>15000</v>
      </c>
      <c r="F35" s="23">
        <v>26</v>
      </c>
      <c r="G35" s="23">
        <v>4</v>
      </c>
      <c r="H35" s="22">
        <f t="shared" si="1"/>
        <v>30</v>
      </c>
      <c r="I35" s="8">
        <f t="shared" si="0"/>
        <v>15000</v>
      </c>
      <c r="J35" s="24"/>
    </row>
    <row r="36" spans="1:10" ht="29" customHeight="1">
      <c r="A36" s="5">
        <v>33</v>
      </c>
      <c r="B36" s="13">
        <v>4576</v>
      </c>
      <c r="C36" s="14" t="s">
        <v>53</v>
      </c>
      <c r="D36" s="22" t="s">
        <v>47</v>
      </c>
      <c r="E36" s="22">
        <v>15000</v>
      </c>
      <c r="F36" s="23">
        <v>14</v>
      </c>
      <c r="G36" s="23">
        <v>2</v>
      </c>
      <c r="H36" s="22">
        <f t="shared" si="1"/>
        <v>16</v>
      </c>
      <c r="I36" s="8">
        <f t="shared" si="0"/>
        <v>8000</v>
      </c>
      <c r="J36" s="9"/>
    </row>
    <row r="37" spans="1:10" ht="29" customHeight="1">
      <c r="A37" s="5">
        <v>34</v>
      </c>
      <c r="B37" s="13">
        <v>4575</v>
      </c>
      <c r="C37" s="14" t="s">
        <v>54</v>
      </c>
      <c r="D37" s="22" t="s">
        <v>47</v>
      </c>
      <c r="E37" s="22">
        <v>15000</v>
      </c>
      <c r="F37" s="23">
        <v>26</v>
      </c>
      <c r="G37" s="23">
        <v>4</v>
      </c>
      <c r="H37" s="22">
        <f t="shared" si="1"/>
        <v>30</v>
      </c>
      <c r="I37" s="8">
        <f t="shared" si="0"/>
        <v>15000</v>
      </c>
      <c r="J37" s="9"/>
    </row>
    <row r="38" spans="1:10" ht="29" customHeight="1">
      <c r="A38" s="5">
        <v>35</v>
      </c>
      <c r="B38" s="13">
        <v>4587</v>
      </c>
      <c r="C38" s="14" t="s">
        <v>55</v>
      </c>
      <c r="D38" s="22" t="s">
        <v>47</v>
      </c>
      <c r="E38" s="22">
        <v>15000</v>
      </c>
      <c r="F38" s="23">
        <v>26</v>
      </c>
      <c r="G38" s="23">
        <v>4</v>
      </c>
      <c r="H38" s="22">
        <f t="shared" si="1"/>
        <v>30</v>
      </c>
      <c r="I38" s="8">
        <f t="shared" si="0"/>
        <v>15000</v>
      </c>
      <c r="J38" s="9"/>
    </row>
    <row r="39" spans="1:10" ht="29" customHeight="1">
      <c r="A39" s="5">
        <v>36</v>
      </c>
      <c r="B39" s="13">
        <v>4583</v>
      </c>
      <c r="C39" s="14" t="s">
        <v>56</v>
      </c>
      <c r="D39" s="22" t="s">
        <v>47</v>
      </c>
      <c r="E39" s="22">
        <v>15000</v>
      </c>
      <c r="F39" s="23">
        <v>26</v>
      </c>
      <c r="G39" s="23">
        <v>4</v>
      </c>
      <c r="H39" s="22">
        <f t="shared" si="1"/>
        <v>30</v>
      </c>
      <c r="I39" s="8">
        <f t="shared" si="0"/>
        <v>15000</v>
      </c>
      <c r="J39" s="9"/>
    </row>
    <row r="40" spans="1:10" ht="29" customHeight="1">
      <c r="A40" s="5">
        <v>37</v>
      </c>
      <c r="B40" s="13">
        <v>4586</v>
      </c>
      <c r="C40" s="14" t="s">
        <v>57</v>
      </c>
      <c r="D40" s="22" t="s">
        <v>47</v>
      </c>
      <c r="E40" s="22">
        <v>15000</v>
      </c>
      <c r="F40" s="23">
        <v>17</v>
      </c>
      <c r="G40" s="23">
        <v>2</v>
      </c>
      <c r="H40" s="22">
        <f t="shared" si="1"/>
        <v>19</v>
      </c>
      <c r="I40" s="8">
        <f t="shared" si="0"/>
        <v>9500</v>
      </c>
      <c r="J40" s="9"/>
    </row>
    <row r="41" spans="1:10" ht="29" customHeight="1">
      <c r="A41" s="5">
        <v>38</v>
      </c>
      <c r="B41" s="13">
        <v>4574</v>
      </c>
      <c r="C41" s="14" t="s">
        <v>58</v>
      </c>
      <c r="D41" s="22" t="s">
        <v>47</v>
      </c>
      <c r="E41" s="22">
        <v>15000</v>
      </c>
      <c r="F41" s="23">
        <v>26</v>
      </c>
      <c r="G41" s="23">
        <v>4</v>
      </c>
      <c r="H41" s="22">
        <f t="shared" si="1"/>
        <v>30</v>
      </c>
      <c r="I41" s="8">
        <f t="shared" si="0"/>
        <v>15000</v>
      </c>
      <c r="J41" s="9"/>
    </row>
    <row r="42" spans="1:10" ht="29" customHeight="1">
      <c r="A42" s="5">
        <v>39</v>
      </c>
      <c r="B42" s="13">
        <v>4485</v>
      </c>
      <c r="C42" s="14" t="s">
        <v>59</v>
      </c>
      <c r="D42" s="22" t="s">
        <v>47</v>
      </c>
      <c r="E42" s="22">
        <v>15000</v>
      </c>
      <c r="F42" s="23">
        <v>26</v>
      </c>
      <c r="G42" s="23">
        <v>4</v>
      </c>
      <c r="H42" s="22">
        <f t="shared" si="1"/>
        <v>30</v>
      </c>
      <c r="I42" s="8">
        <f t="shared" si="0"/>
        <v>15000</v>
      </c>
      <c r="J42" s="24"/>
    </row>
    <row r="43" spans="1:10" ht="29" customHeight="1">
      <c r="A43" s="5">
        <v>40</v>
      </c>
      <c r="B43" s="13">
        <v>4486</v>
      </c>
      <c r="C43" s="14" t="s">
        <v>60</v>
      </c>
      <c r="D43" s="22" t="s">
        <v>47</v>
      </c>
      <c r="E43" s="22">
        <v>15000</v>
      </c>
      <c r="F43" s="23">
        <v>25</v>
      </c>
      <c r="G43" s="23">
        <v>4</v>
      </c>
      <c r="H43" s="22">
        <f t="shared" si="1"/>
        <v>29</v>
      </c>
      <c r="I43" s="8">
        <f t="shared" si="0"/>
        <v>14500</v>
      </c>
      <c r="J43" s="24"/>
    </row>
    <row r="44" spans="1:10" ht="29" customHeight="1">
      <c r="A44" s="5">
        <v>41</v>
      </c>
      <c r="B44" s="13">
        <v>4006</v>
      </c>
      <c r="C44" s="14" t="s">
        <v>61</v>
      </c>
      <c r="D44" s="22" t="s">
        <v>47</v>
      </c>
      <c r="E44" s="22">
        <v>15000</v>
      </c>
      <c r="F44" s="23">
        <v>26</v>
      </c>
      <c r="G44" s="23">
        <v>4</v>
      </c>
      <c r="H44" s="22">
        <f t="shared" si="1"/>
        <v>30</v>
      </c>
      <c r="I44" s="8">
        <f t="shared" si="0"/>
        <v>15000</v>
      </c>
      <c r="J44" s="24"/>
    </row>
    <row r="45" spans="1:10" ht="29" customHeight="1">
      <c r="A45" s="5">
        <v>42</v>
      </c>
      <c r="B45" s="13">
        <v>4585</v>
      </c>
      <c r="C45" s="14" t="s">
        <v>62</v>
      </c>
      <c r="D45" s="22" t="s">
        <v>47</v>
      </c>
      <c r="E45" s="22">
        <v>15000</v>
      </c>
      <c r="F45" s="23">
        <v>25</v>
      </c>
      <c r="G45" s="23">
        <v>4</v>
      </c>
      <c r="H45" s="22">
        <f t="shared" si="1"/>
        <v>29</v>
      </c>
      <c r="I45" s="8">
        <f t="shared" si="0"/>
        <v>14500</v>
      </c>
      <c r="J45" s="9"/>
    </row>
    <row r="46" spans="1:10" ht="29" customHeight="1">
      <c r="A46" s="5">
        <v>43</v>
      </c>
      <c r="B46" s="13">
        <v>4584</v>
      </c>
      <c r="C46" s="14" t="s">
        <v>63</v>
      </c>
      <c r="D46" s="22" t="s">
        <v>47</v>
      </c>
      <c r="E46" s="22">
        <v>15000</v>
      </c>
      <c r="F46" s="23">
        <v>26</v>
      </c>
      <c r="G46" s="23">
        <v>4</v>
      </c>
      <c r="H46" s="22">
        <f t="shared" si="1"/>
        <v>30</v>
      </c>
      <c r="I46" s="8">
        <f t="shared" si="0"/>
        <v>15000</v>
      </c>
      <c r="J46" s="9"/>
    </row>
    <row r="47" spans="1:10" ht="29" customHeight="1">
      <c r="A47" s="5">
        <v>44</v>
      </c>
      <c r="B47" s="13">
        <v>4490</v>
      </c>
      <c r="C47" s="14" t="s">
        <v>64</v>
      </c>
      <c r="D47" s="22" t="s">
        <v>47</v>
      </c>
      <c r="E47" s="22">
        <v>15000</v>
      </c>
      <c r="F47" s="23">
        <v>25</v>
      </c>
      <c r="G47" s="23">
        <v>4</v>
      </c>
      <c r="H47" s="22">
        <f t="shared" si="1"/>
        <v>29</v>
      </c>
      <c r="I47" s="8">
        <f t="shared" si="0"/>
        <v>14500</v>
      </c>
      <c r="J47" s="24"/>
    </row>
    <row r="48" spans="1:10" ht="29" customHeight="1">
      <c r="A48" s="5">
        <v>45</v>
      </c>
      <c r="B48" s="13">
        <v>4072</v>
      </c>
      <c r="C48" s="14" t="s">
        <v>65</v>
      </c>
      <c r="D48" s="22" t="s">
        <v>47</v>
      </c>
      <c r="E48" s="22">
        <v>15000</v>
      </c>
      <c r="F48" s="23">
        <v>26</v>
      </c>
      <c r="G48" s="23">
        <v>4</v>
      </c>
      <c r="H48" s="22">
        <f t="shared" si="1"/>
        <v>30</v>
      </c>
      <c r="I48" s="8">
        <f t="shared" si="0"/>
        <v>15000</v>
      </c>
      <c r="J48" s="24"/>
    </row>
    <row r="49" spans="1:10" ht="29" customHeight="1">
      <c r="A49" s="5">
        <v>46</v>
      </c>
      <c r="B49" s="13">
        <v>4084</v>
      </c>
      <c r="C49" s="14" t="s">
        <v>66</v>
      </c>
      <c r="D49" s="22" t="s">
        <v>47</v>
      </c>
      <c r="E49" s="22">
        <v>15000</v>
      </c>
      <c r="F49" s="23">
        <v>26</v>
      </c>
      <c r="G49" s="23">
        <v>4</v>
      </c>
      <c r="H49" s="22">
        <f t="shared" si="1"/>
        <v>30</v>
      </c>
      <c r="I49" s="8">
        <f t="shared" si="0"/>
        <v>15000</v>
      </c>
      <c r="J49" s="24"/>
    </row>
    <row r="50" spans="1:10" ht="29" customHeight="1">
      <c r="A50" s="5">
        <v>47</v>
      </c>
      <c r="B50" s="13">
        <v>4327</v>
      </c>
      <c r="C50" s="14" t="s">
        <v>5</v>
      </c>
      <c r="D50" s="22" t="s">
        <v>47</v>
      </c>
      <c r="E50" s="22">
        <v>15000</v>
      </c>
      <c r="F50" s="23">
        <v>26</v>
      </c>
      <c r="G50" s="23">
        <v>3</v>
      </c>
      <c r="H50" s="22">
        <f t="shared" si="1"/>
        <v>29</v>
      </c>
      <c r="I50" s="8">
        <f t="shared" si="0"/>
        <v>14500</v>
      </c>
      <c r="J50" s="24" t="s">
        <v>67</v>
      </c>
    </row>
    <row r="51" spans="1:10" ht="29" customHeight="1">
      <c r="A51" s="5">
        <v>48</v>
      </c>
      <c r="B51" s="13">
        <v>4590</v>
      </c>
      <c r="C51" s="14" t="s">
        <v>68</v>
      </c>
      <c r="D51" s="22" t="s">
        <v>47</v>
      </c>
      <c r="E51" s="22">
        <v>15000</v>
      </c>
      <c r="F51" s="23">
        <v>23</v>
      </c>
      <c r="G51" s="23">
        <v>4</v>
      </c>
      <c r="H51" s="22">
        <f t="shared" si="1"/>
        <v>27</v>
      </c>
      <c r="I51" s="8">
        <f t="shared" si="0"/>
        <v>13500</v>
      </c>
      <c r="J51" s="24" t="s">
        <v>67</v>
      </c>
    </row>
    <row r="52" spans="1:10" ht="29" customHeight="1">
      <c r="A52" s="5">
        <v>49</v>
      </c>
      <c r="B52" s="13">
        <v>4466</v>
      </c>
      <c r="C52" s="14" t="s">
        <v>69</v>
      </c>
      <c r="D52" s="22" t="s">
        <v>47</v>
      </c>
      <c r="E52" s="22">
        <v>15000</v>
      </c>
      <c r="F52" s="23">
        <v>13</v>
      </c>
      <c r="G52" s="23">
        <v>2</v>
      </c>
      <c r="H52" s="22">
        <f t="shared" si="1"/>
        <v>15</v>
      </c>
      <c r="I52" s="8">
        <f t="shared" si="0"/>
        <v>7500</v>
      </c>
      <c r="J52" s="24" t="s">
        <v>70</v>
      </c>
    </row>
    <row r="53" spans="1:10" ht="29" customHeight="1">
      <c r="A53" s="5">
        <v>50</v>
      </c>
      <c r="B53" s="13">
        <v>4155</v>
      </c>
      <c r="C53" s="14" t="s">
        <v>71</v>
      </c>
      <c r="D53" s="22" t="s">
        <v>47</v>
      </c>
      <c r="E53" s="22">
        <v>15000</v>
      </c>
      <c r="F53" s="23">
        <v>13</v>
      </c>
      <c r="G53" s="23">
        <v>2</v>
      </c>
      <c r="H53" s="22">
        <f t="shared" si="1"/>
        <v>15</v>
      </c>
      <c r="I53" s="8">
        <f t="shared" si="0"/>
        <v>7500</v>
      </c>
      <c r="J53" s="24" t="s">
        <v>70</v>
      </c>
    </row>
    <row r="54" spans="1:10" ht="29" customHeight="1">
      <c r="A54" s="5">
        <v>51</v>
      </c>
      <c r="B54" s="13">
        <v>4083</v>
      </c>
      <c r="C54" s="14" t="s">
        <v>72</v>
      </c>
      <c r="D54" s="22" t="s">
        <v>47</v>
      </c>
      <c r="E54" s="22">
        <v>15000</v>
      </c>
      <c r="F54" s="23">
        <v>12</v>
      </c>
      <c r="G54" s="23">
        <v>0</v>
      </c>
      <c r="H54" s="22">
        <f t="shared" si="1"/>
        <v>12</v>
      </c>
      <c r="I54" s="8">
        <f t="shared" si="0"/>
        <v>6000</v>
      </c>
      <c r="J54" s="24" t="s">
        <v>73</v>
      </c>
    </row>
    <row r="55" spans="1:10" ht="29" customHeight="1">
      <c r="A55" s="5">
        <v>52</v>
      </c>
      <c r="B55" s="13">
        <v>4577</v>
      </c>
      <c r="C55" s="14" t="s">
        <v>74</v>
      </c>
      <c r="D55" s="22" t="s">
        <v>47</v>
      </c>
      <c r="E55" s="22">
        <v>15000</v>
      </c>
      <c r="F55" s="23">
        <v>3</v>
      </c>
      <c r="G55" s="23">
        <v>0</v>
      </c>
      <c r="H55" s="22">
        <f t="shared" si="1"/>
        <v>3</v>
      </c>
      <c r="I55" s="8">
        <f t="shared" si="0"/>
        <v>1500</v>
      </c>
      <c r="J55" s="9"/>
    </row>
    <row r="56" spans="1:10" ht="29" customHeight="1">
      <c r="A56" s="5">
        <v>53</v>
      </c>
      <c r="B56" s="13">
        <v>4074</v>
      </c>
      <c r="C56" s="14" t="s">
        <v>75</v>
      </c>
      <c r="D56" s="22" t="s">
        <v>47</v>
      </c>
      <c r="E56" s="22">
        <v>15000</v>
      </c>
      <c r="F56" s="23">
        <v>4</v>
      </c>
      <c r="G56" s="23">
        <v>0</v>
      </c>
      <c r="H56" s="22">
        <f t="shared" si="1"/>
        <v>4</v>
      </c>
      <c r="I56" s="8">
        <f t="shared" si="0"/>
        <v>2000</v>
      </c>
      <c r="J56" s="9"/>
    </row>
    <row r="57" spans="1:10" ht="29" customHeight="1">
      <c r="A57" s="5">
        <v>54</v>
      </c>
      <c r="B57" s="13">
        <v>4071</v>
      </c>
      <c r="C57" s="14" t="s">
        <v>76</v>
      </c>
      <c r="D57" s="22" t="s">
        <v>47</v>
      </c>
      <c r="E57" s="22">
        <v>15000</v>
      </c>
      <c r="F57" s="23">
        <v>4</v>
      </c>
      <c r="G57" s="23">
        <v>0</v>
      </c>
      <c r="H57" s="22">
        <f t="shared" si="1"/>
        <v>4</v>
      </c>
      <c r="I57" s="8">
        <f t="shared" si="0"/>
        <v>2000</v>
      </c>
      <c r="J57" s="9"/>
    </row>
    <row r="58" spans="1:10" ht="29" customHeight="1">
      <c r="A58" s="5">
        <v>55</v>
      </c>
      <c r="B58" s="13">
        <v>4089</v>
      </c>
      <c r="C58" s="14" t="s">
        <v>77</v>
      </c>
      <c r="D58" s="22" t="s">
        <v>47</v>
      </c>
      <c r="E58" s="22">
        <v>15000</v>
      </c>
      <c r="F58" s="23">
        <v>4</v>
      </c>
      <c r="G58" s="23">
        <v>0</v>
      </c>
      <c r="H58" s="22">
        <f t="shared" si="1"/>
        <v>4</v>
      </c>
      <c r="I58" s="8">
        <f t="shared" si="0"/>
        <v>2000</v>
      </c>
      <c r="J58" s="9"/>
    </row>
    <row r="59" spans="1:10" ht="29" customHeight="1">
      <c r="A59" s="11">
        <v>56</v>
      </c>
      <c r="B59" s="13">
        <v>1700</v>
      </c>
      <c r="C59" s="25" t="s">
        <v>78</v>
      </c>
      <c r="D59" s="13" t="s">
        <v>47</v>
      </c>
      <c r="E59" s="13">
        <v>15000</v>
      </c>
      <c r="F59" s="26">
        <v>23</v>
      </c>
      <c r="G59" s="26">
        <v>4</v>
      </c>
      <c r="H59" s="13">
        <f t="shared" si="1"/>
        <v>27</v>
      </c>
      <c r="I59" s="27">
        <f t="shared" si="0"/>
        <v>13500</v>
      </c>
      <c r="J59" s="9"/>
    </row>
    <row r="60" spans="1:10" s="30" customFormat="1" ht="29" customHeight="1">
      <c r="A60" s="28"/>
      <c r="B60" s="28"/>
      <c r="C60" s="28"/>
      <c r="D60" s="28" t="s">
        <v>0</v>
      </c>
      <c r="E60" s="29">
        <f>SUM(E4:E59)</f>
        <v>734500</v>
      </c>
      <c r="F60" s="29">
        <f t="shared" ref="F60:I60" si="2">SUM(F4:F59)</f>
        <v>1247</v>
      </c>
      <c r="G60" s="29">
        <f t="shared" si="2"/>
        <v>187</v>
      </c>
      <c r="H60" s="29">
        <f t="shared" si="2"/>
        <v>1434</v>
      </c>
      <c r="I60" s="29">
        <f t="shared" si="2"/>
        <v>619550</v>
      </c>
      <c r="J60" s="28"/>
    </row>
    <row r="61" spans="1:10" ht="26" customHeight="1">
      <c r="A61" s="31"/>
      <c r="B61" s="32"/>
      <c r="C61" s="32"/>
      <c r="D61" s="32"/>
      <c r="E61" s="32"/>
      <c r="F61" s="32"/>
      <c r="G61" s="32"/>
      <c r="H61" s="32"/>
      <c r="I61" s="32"/>
      <c r="J61" s="33"/>
    </row>
    <row r="62" spans="1:10" ht="26" customHeight="1">
      <c r="A62" s="31"/>
      <c r="B62" s="32"/>
      <c r="C62" s="34"/>
      <c r="D62" s="35"/>
      <c r="E62" s="32"/>
      <c r="F62" s="32"/>
      <c r="G62" s="32"/>
      <c r="H62" s="32"/>
      <c r="I62" s="32"/>
      <c r="J62" s="33"/>
    </row>
    <row r="63" spans="1:10" ht="28.5" customHeight="1">
      <c r="A63" s="36"/>
      <c r="B63" s="61" t="s">
        <v>3</v>
      </c>
      <c r="C63" s="61"/>
      <c r="D63" s="37"/>
      <c r="E63" s="38"/>
      <c r="F63" s="38"/>
      <c r="G63" s="38"/>
      <c r="H63" s="38" t="s">
        <v>79</v>
      </c>
      <c r="I63" s="38"/>
      <c r="J63" s="39"/>
    </row>
    <row r="64" spans="1:10" ht="25" customHeight="1"/>
    <row r="65" s="1" customFormat="1" ht="25" customHeight="1"/>
    <row r="66" s="1" customFormat="1" ht="25" customHeight="1"/>
    <row r="67" s="1" customFormat="1" ht="25" customHeight="1"/>
    <row r="68" s="1" customFormat="1" ht="25" customHeight="1"/>
    <row r="69" s="1" customFormat="1" ht="25" customHeight="1"/>
    <row r="70" s="1" customFormat="1" ht="25" customHeight="1"/>
    <row r="71" s="1" customFormat="1" ht="25" customHeight="1"/>
    <row r="72" s="1" customFormat="1" ht="25" customHeight="1"/>
  </sheetData>
  <mergeCells count="3">
    <mergeCell ref="A1:J1"/>
    <mergeCell ref="A2:J2"/>
    <mergeCell ref="B63:C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BF8D-BCDD-422C-8CFE-90F808F5AFCF}">
  <dimension ref="A1:J43"/>
  <sheetViews>
    <sheetView tabSelected="1" topLeftCell="A30" workbookViewId="0">
      <selection activeCell="M37" sqref="M37"/>
    </sheetView>
  </sheetViews>
  <sheetFormatPr defaultColWidth="8.7265625" defaultRowHeight="14.5"/>
  <cols>
    <col min="1" max="1" width="7.54296875" bestFit="1" customWidth="1"/>
    <col min="2" max="2" width="10.54296875" customWidth="1"/>
    <col min="3" max="3" width="16.453125" customWidth="1"/>
    <col min="4" max="4" width="12.1796875" customWidth="1"/>
    <col min="5" max="5" width="9.453125" customWidth="1"/>
    <col min="6" max="6" width="10.7265625" customWidth="1"/>
    <col min="7" max="7" width="7.81640625" customWidth="1"/>
    <col min="8" max="8" width="9.7265625" customWidth="1"/>
    <col min="10" max="10" width="18.26953125" customWidth="1"/>
  </cols>
  <sheetData>
    <row r="1" spans="1:10" ht="26.5" customHeight="1">
      <c r="A1" s="60" t="s">
        <v>7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ht="23.5" customHeight="1">
      <c r="A2" s="60" t="s">
        <v>80</v>
      </c>
      <c r="B2" s="60"/>
      <c r="C2" s="60"/>
      <c r="D2" s="60"/>
      <c r="E2" s="60"/>
      <c r="F2" s="60"/>
      <c r="G2" s="60"/>
      <c r="H2" s="60"/>
      <c r="I2" s="60"/>
      <c r="J2" s="60"/>
    </row>
    <row r="3" spans="1:10" s="40" customFormat="1" ht="45">
      <c r="A3" s="2" t="s">
        <v>6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</v>
      </c>
      <c r="I3" s="4" t="s">
        <v>15</v>
      </c>
      <c r="J3" s="2" t="s">
        <v>2</v>
      </c>
    </row>
    <row r="4" spans="1:10" ht="32" customHeight="1">
      <c r="A4" s="11">
        <v>1</v>
      </c>
      <c r="B4" s="11">
        <v>684</v>
      </c>
      <c r="C4" s="16" t="s">
        <v>81</v>
      </c>
      <c r="D4" s="5" t="s">
        <v>17</v>
      </c>
      <c r="E4" s="17">
        <v>23000</v>
      </c>
      <c r="F4" s="17">
        <v>26</v>
      </c>
      <c r="G4" s="17">
        <v>4</v>
      </c>
      <c r="H4" s="11">
        <f t="shared" ref="H4:H39" si="0">F4+G4</f>
        <v>30</v>
      </c>
      <c r="I4" s="8">
        <f t="shared" ref="I4:I39" si="1">E4/30*H4</f>
        <v>23000</v>
      </c>
      <c r="J4" s="11"/>
    </row>
    <row r="5" spans="1:10" ht="32" customHeight="1">
      <c r="A5" s="5">
        <v>2</v>
      </c>
      <c r="B5" s="11">
        <v>685</v>
      </c>
      <c r="C5" s="16" t="s">
        <v>82</v>
      </c>
      <c r="D5" s="17" t="s">
        <v>19</v>
      </c>
      <c r="E5" s="17">
        <v>15000</v>
      </c>
      <c r="F5" s="17">
        <v>17.5</v>
      </c>
      <c r="G5" s="17">
        <v>3</v>
      </c>
      <c r="H5" s="11">
        <f t="shared" si="0"/>
        <v>20.5</v>
      </c>
      <c r="I5" s="8">
        <f t="shared" si="1"/>
        <v>10250</v>
      </c>
      <c r="J5" s="41"/>
    </row>
    <row r="6" spans="1:10" ht="32" customHeight="1">
      <c r="A6" s="11">
        <v>3</v>
      </c>
      <c r="B6" s="11">
        <v>671</v>
      </c>
      <c r="C6" s="16" t="s">
        <v>112</v>
      </c>
      <c r="D6" s="17" t="s">
        <v>19</v>
      </c>
      <c r="E6" s="17">
        <v>15000</v>
      </c>
      <c r="F6" s="17">
        <v>15</v>
      </c>
      <c r="G6" s="17">
        <v>2</v>
      </c>
      <c r="H6" s="11">
        <f t="shared" si="0"/>
        <v>17</v>
      </c>
      <c r="I6" s="8">
        <f t="shared" si="1"/>
        <v>8500</v>
      </c>
      <c r="J6" s="13" t="s">
        <v>113</v>
      </c>
    </row>
    <row r="7" spans="1:10" ht="32" customHeight="1">
      <c r="A7" s="11">
        <v>4</v>
      </c>
      <c r="B7" s="11">
        <v>693</v>
      </c>
      <c r="C7" s="16" t="s">
        <v>114</v>
      </c>
      <c r="D7" s="17" t="s">
        <v>19</v>
      </c>
      <c r="E7" s="17">
        <v>15000</v>
      </c>
      <c r="F7" s="17">
        <v>26</v>
      </c>
      <c r="G7" s="17">
        <v>4</v>
      </c>
      <c r="H7" s="11">
        <f t="shared" si="0"/>
        <v>30</v>
      </c>
      <c r="I7" s="8">
        <f t="shared" si="1"/>
        <v>15000</v>
      </c>
      <c r="J7" s="13" t="s">
        <v>113</v>
      </c>
    </row>
    <row r="8" spans="1:10" ht="32" customHeight="1">
      <c r="A8" s="5">
        <v>5</v>
      </c>
      <c r="B8" s="11">
        <v>673</v>
      </c>
      <c r="C8" s="16" t="s">
        <v>83</v>
      </c>
      <c r="D8" s="17" t="s">
        <v>23</v>
      </c>
      <c r="E8" s="9">
        <v>10000</v>
      </c>
      <c r="F8" s="17">
        <v>19</v>
      </c>
      <c r="G8" s="17">
        <v>3</v>
      </c>
      <c r="H8" s="11">
        <f t="shared" si="0"/>
        <v>22</v>
      </c>
      <c r="I8" s="8">
        <f t="shared" si="1"/>
        <v>7333.333333333333</v>
      </c>
      <c r="J8" s="43"/>
    </row>
    <row r="9" spans="1:10" ht="32" customHeight="1">
      <c r="A9" s="11">
        <v>6</v>
      </c>
      <c r="B9" s="11">
        <v>636</v>
      </c>
      <c r="C9" s="44" t="s">
        <v>84</v>
      </c>
      <c r="D9" s="17" t="s">
        <v>23</v>
      </c>
      <c r="E9" s="17">
        <v>10000</v>
      </c>
      <c r="F9" s="11">
        <v>20</v>
      </c>
      <c r="G9" s="17">
        <v>3</v>
      </c>
      <c r="H9" s="11">
        <f t="shared" si="0"/>
        <v>23</v>
      </c>
      <c r="I9" s="8">
        <f t="shared" si="1"/>
        <v>7666.6666666666661</v>
      </c>
      <c r="J9" s="11"/>
    </row>
    <row r="10" spans="1:10" ht="32" customHeight="1">
      <c r="A10" s="11">
        <v>7</v>
      </c>
      <c r="B10" s="11">
        <v>672</v>
      </c>
      <c r="C10" s="16" t="s">
        <v>85</v>
      </c>
      <c r="D10" s="17" t="s">
        <v>23</v>
      </c>
      <c r="E10" s="17">
        <v>10000</v>
      </c>
      <c r="F10" s="17">
        <v>21</v>
      </c>
      <c r="G10" s="17">
        <v>4</v>
      </c>
      <c r="H10" s="11">
        <f t="shared" si="0"/>
        <v>25</v>
      </c>
      <c r="I10" s="8">
        <f t="shared" si="1"/>
        <v>8333.3333333333321</v>
      </c>
      <c r="J10" s="9"/>
    </row>
    <row r="11" spans="1:10" ht="32" customHeight="1">
      <c r="A11" s="5">
        <v>8</v>
      </c>
      <c r="B11" s="11">
        <v>651</v>
      </c>
      <c r="C11" s="45" t="s">
        <v>86</v>
      </c>
      <c r="D11" s="17" t="s">
        <v>23</v>
      </c>
      <c r="E11" s="9">
        <v>10000</v>
      </c>
      <c r="F11" s="17">
        <v>26</v>
      </c>
      <c r="G11" s="17">
        <v>4</v>
      </c>
      <c r="H11" s="11">
        <f t="shared" si="0"/>
        <v>30</v>
      </c>
      <c r="I11" s="8">
        <f t="shared" si="1"/>
        <v>10000</v>
      </c>
      <c r="J11" s="11"/>
    </row>
    <row r="12" spans="1:10" ht="32" customHeight="1">
      <c r="A12" s="11">
        <v>9</v>
      </c>
      <c r="B12" s="11">
        <v>614</v>
      </c>
      <c r="C12" s="44" t="s">
        <v>87</v>
      </c>
      <c r="D12" s="17" t="s">
        <v>23</v>
      </c>
      <c r="E12" s="17">
        <v>10000</v>
      </c>
      <c r="F12" s="17">
        <v>26</v>
      </c>
      <c r="G12" s="17">
        <v>4</v>
      </c>
      <c r="H12" s="11">
        <f t="shared" si="0"/>
        <v>30</v>
      </c>
      <c r="I12" s="8">
        <f t="shared" si="1"/>
        <v>10000</v>
      </c>
      <c r="J12" s="11"/>
    </row>
    <row r="13" spans="1:10" ht="32" customHeight="1">
      <c r="A13" s="11">
        <v>10</v>
      </c>
      <c r="B13" s="11">
        <v>634</v>
      </c>
      <c r="C13" s="44" t="s">
        <v>88</v>
      </c>
      <c r="D13" s="17" t="s">
        <v>23</v>
      </c>
      <c r="E13" s="17">
        <v>10000</v>
      </c>
      <c r="F13" s="11">
        <v>25</v>
      </c>
      <c r="G13" s="17">
        <v>4</v>
      </c>
      <c r="H13" s="11">
        <f t="shared" si="0"/>
        <v>29</v>
      </c>
      <c r="I13" s="8">
        <f t="shared" si="1"/>
        <v>9666.6666666666661</v>
      </c>
      <c r="J13" s="11"/>
    </row>
    <row r="14" spans="1:10" ht="32" customHeight="1">
      <c r="A14" s="5">
        <v>11</v>
      </c>
      <c r="B14" s="11">
        <v>6009</v>
      </c>
      <c r="C14" s="44" t="s">
        <v>89</v>
      </c>
      <c r="D14" s="17" t="s">
        <v>23</v>
      </c>
      <c r="E14" s="17">
        <v>10000</v>
      </c>
      <c r="F14" s="17">
        <v>26</v>
      </c>
      <c r="G14" s="17">
        <v>4</v>
      </c>
      <c r="H14" s="11">
        <f t="shared" si="0"/>
        <v>30</v>
      </c>
      <c r="I14" s="8">
        <f t="shared" si="1"/>
        <v>10000</v>
      </c>
      <c r="J14" s="41"/>
    </row>
    <row r="15" spans="1:10" ht="32" customHeight="1">
      <c r="A15" s="11">
        <v>12</v>
      </c>
      <c r="B15" s="11">
        <v>669</v>
      </c>
      <c r="C15" s="44" t="s">
        <v>90</v>
      </c>
      <c r="D15" s="17" t="s">
        <v>23</v>
      </c>
      <c r="E15" s="17">
        <v>10000</v>
      </c>
      <c r="F15" s="17">
        <v>26</v>
      </c>
      <c r="G15" s="17">
        <v>4</v>
      </c>
      <c r="H15" s="11">
        <f t="shared" si="0"/>
        <v>30</v>
      </c>
      <c r="I15" s="8">
        <f t="shared" si="1"/>
        <v>10000</v>
      </c>
      <c r="J15" s="41"/>
    </row>
    <row r="16" spans="1:10" ht="32" customHeight="1">
      <c r="A16" s="11">
        <v>13</v>
      </c>
      <c r="B16" s="11">
        <v>688</v>
      </c>
      <c r="C16" s="45" t="s">
        <v>91</v>
      </c>
      <c r="D16" s="17" t="s">
        <v>23</v>
      </c>
      <c r="E16" s="17">
        <v>10000</v>
      </c>
      <c r="F16" s="17">
        <v>23</v>
      </c>
      <c r="G16" s="17">
        <v>4</v>
      </c>
      <c r="H16" s="11">
        <f t="shared" si="0"/>
        <v>27</v>
      </c>
      <c r="I16" s="8">
        <f t="shared" si="1"/>
        <v>9000</v>
      </c>
      <c r="J16" s="11"/>
    </row>
    <row r="17" spans="1:10" ht="32" customHeight="1">
      <c r="A17" s="5">
        <v>14</v>
      </c>
      <c r="B17" s="11">
        <v>635</v>
      </c>
      <c r="C17" s="46" t="s">
        <v>92</v>
      </c>
      <c r="D17" s="17" t="s">
        <v>23</v>
      </c>
      <c r="E17" s="17">
        <v>10000</v>
      </c>
      <c r="F17" s="11">
        <v>26</v>
      </c>
      <c r="G17" s="17">
        <v>4</v>
      </c>
      <c r="H17" s="11">
        <f t="shared" si="0"/>
        <v>30</v>
      </c>
      <c r="I17" s="8">
        <f t="shared" si="1"/>
        <v>10000</v>
      </c>
      <c r="J17" s="9"/>
    </row>
    <row r="18" spans="1:10" ht="32" customHeight="1">
      <c r="A18" s="11">
        <v>15</v>
      </c>
      <c r="B18" s="11">
        <v>638</v>
      </c>
      <c r="C18" s="46" t="s">
        <v>94</v>
      </c>
      <c r="D18" s="17" t="s">
        <v>23</v>
      </c>
      <c r="E18" s="17">
        <v>10000</v>
      </c>
      <c r="F18" s="11">
        <v>26</v>
      </c>
      <c r="G18" s="17">
        <v>4</v>
      </c>
      <c r="H18" s="11">
        <f t="shared" si="0"/>
        <v>30</v>
      </c>
      <c r="I18" s="8">
        <f t="shared" si="1"/>
        <v>10000</v>
      </c>
      <c r="J18" s="11"/>
    </row>
    <row r="19" spans="1:10" ht="32" customHeight="1">
      <c r="A19" s="11">
        <v>16</v>
      </c>
      <c r="B19" s="11">
        <v>675</v>
      </c>
      <c r="C19" s="47" t="s">
        <v>95</v>
      </c>
      <c r="D19" s="17" t="s">
        <v>23</v>
      </c>
      <c r="E19" s="9">
        <v>10000</v>
      </c>
      <c r="F19" s="17">
        <v>24</v>
      </c>
      <c r="G19" s="17">
        <v>4</v>
      </c>
      <c r="H19" s="11">
        <f t="shared" si="0"/>
        <v>28</v>
      </c>
      <c r="I19" s="8">
        <f t="shared" si="1"/>
        <v>9333.3333333333321</v>
      </c>
      <c r="J19" s="9"/>
    </row>
    <row r="20" spans="1:10" ht="32" customHeight="1">
      <c r="A20" s="5">
        <v>17</v>
      </c>
      <c r="B20" s="11">
        <v>650</v>
      </c>
      <c r="C20" s="46" t="s">
        <v>93</v>
      </c>
      <c r="D20" s="17" t="s">
        <v>23</v>
      </c>
      <c r="E20" s="17">
        <v>10000</v>
      </c>
      <c r="F20" s="11">
        <v>26</v>
      </c>
      <c r="G20" s="17">
        <v>4</v>
      </c>
      <c r="H20" s="11">
        <f>F20+G20</f>
        <v>30</v>
      </c>
      <c r="I20" s="8">
        <f>E20/30*H20</f>
        <v>10000</v>
      </c>
      <c r="J20" s="11"/>
    </row>
    <row r="21" spans="1:10" ht="32" customHeight="1">
      <c r="A21" s="11">
        <v>18</v>
      </c>
      <c r="B21" s="11">
        <v>692</v>
      </c>
      <c r="C21" s="45" t="s">
        <v>96</v>
      </c>
      <c r="D21" s="17" t="s">
        <v>23</v>
      </c>
      <c r="E21" s="17">
        <v>10000</v>
      </c>
      <c r="F21" s="11">
        <v>23</v>
      </c>
      <c r="G21" s="17">
        <v>4</v>
      </c>
      <c r="H21" s="11">
        <f t="shared" si="0"/>
        <v>27</v>
      </c>
      <c r="I21" s="8">
        <f t="shared" si="1"/>
        <v>9000</v>
      </c>
      <c r="J21" s="9"/>
    </row>
    <row r="22" spans="1:10" ht="32" customHeight="1">
      <c r="A22" s="11">
        <v>19</v>
      </c>
      <c r="B22" s="11">
        <v>619</v>
      </c>
      <c r="C22" s="47" t="s">
        <v>97</v>
      </c>
      <c r="D22" s="17" t="s">
        <v>23</v>
      </c>
      <c r="E22" s="17">
        <v>10000</v>
      </c>
      <c r="F22" s="11">
        <v>26</v>
      </c>
      <c r="G22" s="17">
        <v>4</v>
      </c>
      <c r="H22" s="11">
        <f t="shared" si="0"/>
        <v>30</v>
      </c>
      <c r="I22" s="8">
        <f t="shared" si="1"/>
        <v>10000</v>
      </c>
      <c r="J22" s="9"/>
    </row>
    <row r="23" spans="1:10" ht="32" customHeight="1">
      <c r="A23" s="5">
        <v>20</v>
      </c>
      <c r="B23" s="11">
        <v>691</v>
      </c>
      <c r="C23" s="45" t="s">
        <v>98</v>
      </c>
      <c r="D23" s="17" t="s">
        <v>23</v>
      </c>
      <c r="E23" s="17">
        <v>10000</v>
      </c>
      <c r="F23" s="17">
        <v>26</v>
      </c>
      <c r="G23" s="17">
        <v>4</v>
      </c>
      <c r="H23" s="11">
        <f t="shared" si="0"/>
        <v>30</v>
      </c>
      <c r="I23" s="8">
        <f t="shared" si="1"/>
        <v>10000</v>
      </c>
      <c r="J23" s="9"/>
    </row>
    <row r="24" spans="1:10" ht="32" customHeight="1">
      <c r="A24" s="11">
        <v>21</v>
      </c>
      <c r="B24" s="11">
        <v>6008</v>
      </c>
      <c r="C24" s="47" t="s">
        <v>99</v>
      </c>
      <c r="D24" s="17" t="s">
        <v>23</v>
      </c>
      <c r="E24" s="17">
        <v>10000</v>
      </c>
      <c r="F24" s="17">
        <v>26</v>
      </c>
      <c r="G24" s="17">
        <v>4</v>
      </c>
      <c r="H24" s="11">
        <f t="shared" si="0"/>
        <v>30</v>
      </c>
      <c r="I24" s="8">
        <f t="shared" si="1"/>
        <v>10000</v>
      </c>
      <c r="J24" s="9"/>
    </row>
    <row r="25" spans="1:10" ht="32" customHeight="1">
      <c r="A25" s="11">
        <v>22</v>
      </c>
      <c r="B25" s="11">
        <v>687</v>
      </c>
      <c r="C25" s="45" t="s">
        <v>100</v>
      </c>
      <c r="D25" s="17" t="s">
        <v>23</v>
      </c>
      <c r="E25" s="17">
        <v>10000</v>
      </c>
      <c r="F25" s="17">
        <v>26</v>
      </c>
      <c r="G25" s="17">
        <v>4</v>
      </c>
      <c r="H25" s="11">
        <f t="shared" si="0"/>
        <v>30</v>
      </c>
      <c r="I25" s="8">
        <f t="shared" si="1"/>
        <v>10000</v>
      </c>
      <c r="J25" s="9"/>
    </row>
    <row r="26" spans="1:10" ht="32" customHeight="1">
      <c r="A26" s="5">
        <v>23</v>
      </c>
      <c r="B26" s="11">
        <v>694</v>
      </c>
      <c r="C26" s="45" t="s">
        <v>101</v>
      </c>
      <c r="D26" s="17" t="s">
        <v>23</v>
      </c>
      <c r="E26" s="17">
        <v>10000</v>
      </c>
      <c r="F26" s="11">
        <v>19</v>
      </c>
      <c r="G26" s="17">
        <v>3</v>
      </c>
      <c r="H26" s="11">
        <f t="shared" si="0"/>
        <v>22</v>
      </c>
      <c r="I26" s="8">
        <f t="shared" si="1"/>
        <v>7333.333333333333</v>
      </c>
      <c r="J26" s="41"/>
    </row>
    <row r="27" spans="1:10" ht="32" customHeight="1">
      <c r="A27" s="11">
        <v>24</v>
      </c>
      <c r="B27" s="11">
        <v>716</v>
      </c>
      <c r="C27" s="45" t="s">
        <v>115</v>
      </c>
      <c r="D27" s="17" t="s">
        <v>23</v>
      </c>
      <c r="E27" s="17">
        <v>10000</v>
      </c>
      <c r="F27" s="11">
        <v>19</v>
      </c>
      <c r="G27" s="17">
        <v>3</v>
      </c>
      <c r="H27" s="11">
        <f t="shared" ref="H27" si="2">F27+G27</f>
        <v>22</v>
      </c>
      <c r="I27" s="8">
        <f t="shared" ref="I27" si="3">E27/30*H27</f>
        <v>7333.333333333333</v>
      </c>
      <c r="J27" s="41" t="s">
        <v>113</v>
      </c>
    </row>
    <row r="28" spans="1:10" ht="32" customHeight="1">
      <c r="A28" s="11">
        <v>25</v>
      </c>
      <c r="B28" s="11">
        <v>713</v>
      </c>
      <c r="C28" s="45" t="s">
        <v>116</v>
      </c>
      <c r="D28" s="17" t="s">
        <v>23</v>
      </c>
      <c r="E28" s="17">
        <v>10000</v>
      </c>
      <c r="F28" s="11">
        <v>19</v>
      </c>
      <c r="G28" s="17">
        <v>3</v>
      </c>
      <c r="H28" s="11">
        <f t="shared" ref="H28" si="4">F28+G28</f>
        <v>22</v>
      </c>
      <c r="I28" s="8">
        <f t="shared" ref="I28" si="5">E28/30*H28</f>
        <v>7333.333333333333</v>
      </c>
      <c r="J28" s="41" t="s">
        <v>119</v>
      </c>
    </row>
    <row r="29" spans="1:10" ht="32" customHeight="1">
      <c r="A29" s="5">
        <v>26</v>
      </c>
      <c r="B29" s="11">
        <v>679</v>
      </c>
      <c r="C29" s="45" t="s">
        <v>117</v>
      </c>
      <c r="D29" s="17" t="s">
        <v>23</v>
      </c>
      <c r="E29" s="17">
        <v>10000</v>
      </c>
      <c r="F29" s="11">
        <v>19</v>
      </c>
      <c r="G29" s="17">
        <v>3</v>
      </c>
      <c r="H29" s="11">
        <f t="shared" ref="H29" si="6">F29+G29</f>
        <v>22</v>
      </c>
      <c r="I29" s="8">
        <f t="shared" ref="I29" si="7">E29/30*H29</f>
        <v>7333.333333333333</v>
      </c>
      <c r="J29" s="41" t="s">
        <v>120</v>
      </c>
    </row>
    <row r="30" spans="1:10" ht="32" customHeight="1">
      <c r="A30" s="11">
        <v>27</v>
      </c>
      <c r="B30" s="11">
        <v>714</v>
      </c>
      <c r="C30" s="45" t="s">
        <v>118</v>
      </c>
      <c r="D30" s="17" t="s">
        <v>23</v>
      </c>
      <c r="E30" s="17">
        <v>10000</v>
      </c>
      <c r="F30" s="11">
        <v>19</v>
      </c>
      <c r="G30" s="17">
        <v>3</v>
      </c>
      <c r="H30" s="11">
        <f t="shared" ref="H30" si="8">F30+G30</f>
        <v>22</v>
      </c>
      <c r="I30" s="8">
        <f t="shared" ref="I30" si="9">E30/30*H30</f>
        <v>7333.333333333333</v>
      </c>
      <c r="J30" s="41" t="s">
        <v>121</v>
      </c>
    </row>
    <row r="31" spans="1:10" ht="32" customHeight="1">
      <c r="A31" s="11">
        <v>28</v>
      </c>
      <c r="B31" s="11">
        <v>682</v>
      </c>
      <c r="C31" s="44" t="s">
        <v>102</v>
      </c>
      <c r="D31" s="17" t="s">
        <v>47</v>
      </c>
      <c r="E31" s="17">
        <v>15000</v>
      </c>
      <c r="F31" s="17">
        <v>26</v>
      </c>
      <c r="G31" s="17">
        <v>3</v>
      </c>
      <c r="H31" s="11">
        <f t="shared" si="0"/>
        <v>29</v>
      </c>
      <c r="I31" s="8">
        <f t="shared" si="1"/>
        <v>14500</v>
      </c>
      <c r="J31" s="9"/>
    </row>
    <row r="32" spans="1:10" ht="32" customHeight="1">
      <c r="A32" s="5">
        <v>29</v>
      </c>
      <c r="B32" s="13">
        <v>601</v>
      </c>
      <c r="C32" s="51" t="s">
        <v>108</v>
      </c>
      <c r="D32" s="26" t="s">
        <v>47</v>
      </c>
      <c r="E32" s="26">
        <v>15000</v>
      </c>
      <c r="F32" s="13">
        <v>20</v>
      </c>
      <c r="G32" s="26">
        <v>4</v>
      </c>
      <c r="H32" s="13">
        <f>F32+G32</f>
        <v>24</v>
      </c>
      <c r="I32" s="52">
        <f>E32/30*H32</f>
        <v>12000</v>
      </c>
      <c r="J32" s="9" t="s">
        <v>109</v>
      </c>
    </row>
    <row r="33" spans="1:10" ht="32" customHeight="1">
      <c r="A33" s="11">
        <v>30</v>
      </c>
      <c r="B33" s="13">
        <v>4180</v>
      </c>
      <c r="C33" s="51" t="s">
        <v>107</v>
      </c>
      <c r="D33" s="26" t="s">
        <v>47</v>
      </c>
      <c r="E33" s="26">
        <v>15000</v>
      </c>
      <c r="F33" s="13">
        <v>25</v>
      </c>
      <c r="G33" s="26">
        <v>4</v>
      </c>
      <c r="H33" s="13">
        <f>F33+G33</f>
        <v>29</v>
      </c>
      <c r="I33" s="52">
        <f>E33/30*H33</f>
        <v>14500</v>
      </c>
      <c r="J33" s="9" t="s">
        <v>105</v>
      </c>
    </row>
    <row r="34" spans="1:10" ht="32" customHeight="1">
      <c r="A34" s="11">
        <v>31</v>
      </c>
      <c r="B34" s="11">
        <v>4088</v>
      </c>
      <c r="C34" s="47" t="s">
        <v>104</v>
      </c>
      <c r="D34" s="17" t="s">
        <v>47</v>
      </c>
      <c r="E34" s="17">
        <v>15000</v>
      </c>
      <c r="F34" s="11">
        <v>26</v>
      </c>
      <c r="G34" s="17">
        <v>4</v>
      </c>
      <c r="H34" s="11">
        <f>F34+G34</f>
        <v>30</v>
      </c>
      <c r="I34" s="8">
        <f>E34/30*H34</f>
        <v>15000</v>
      </c>
      <c r="J34" s="9" t="s">
        <v>105</v>
      </c>
    </row>
    <row r="35" spans="1:10" ht="32" customHeight="1">
      <c r="A35" s="5">
        <v>32</v>
      </c>
      <c r="B35" s="18">
        <v>4075</v>
      </c>
      <c r="C35" s="48" t="s">
        <v>106</v>
      </c>
      <c r="D35" s="49" t="s">
        <v>47</v>
      </c>
      <c r="E35" s="49">
        <v>15000</v>
      </c>
      <c r="F35" s="18">
        <v>25</v>
      </c>
      <c r="G35" s="49">
        <v>4</v>
      </c>
      <c r="H35" s="18">
        <f>F35+G35</f>
        <v>29</v>
      </c>
      <c r="I35" s="50">
        <f>E35/30*H35</f>
        <v>14500</v>
      </c>
      <c r="J35" s="9" t="s">
        <v>105</v>
      </c>
    </row>
    <row r="36" spans="1:10" ht="32" customHeight="1">
      <c r="A36" s="11">
        <v>33</v>
      </c>
      <c r="B36" s="13">
        <v>700</v>
      </c>
      <c r="C36" s="51" t="s">
        <v>111</v>
      </c>
      <c r="D36" s="26" t="s">
        <v>47</v>
      </c>
      <c r="E36" s="26">
        <v>15000</v>
      </c>
      <c r="F36" s="13">
        <v>26</v>
      </c>
      <c r="G36" s="26">
        <v>4</v>
      </c>
      <c r="H36" s="13">
        <f>F36+G36</f>
        <v>30</v>
      </c>
      <c r="I36" s="52">
        <f>E36/30*H36</f>
        <v>15000</v>
      </c>
      <c r="J36" s="42"/>
    </row>
    <row r="37" spans="1:10" ht="32" customHeight="1">
      <c r="A37" s="11">
        <v>34</v>
      </c>
      <c r="B37" s="13">
        <v>611</v>
      </c>
      <c r="C37" s="51" t="s">
        <v>110</v>
      </c>
      <c r="D37" s="26" t="s">
        <v>47</v>
      </c>
      <c r="E37" s="26">
        <v>15000</v>
      </c>
      <c r="F37" s="13">
        <v>26</v>
      </c>
      <c r="G37" s="26">
        <v>4</v>
      </c>
      <c r="H37" s="13">
        <f>F37+G37</f>
        <v>30</v>
      </c>
      <c r="I37" s="52">
        <f>E37/30*H37</f>
        <v>15000</v>
      </c>
      <c r="J37" s="9"/>
    </row>
    <row r="38" spans="1:10" ht="32" customHeight="1">
      <c r="A38" s="5">
        <v>35</v>
      </c>
      <c r="B38" s="13">
        <v>697</v>
      </c>
      <c r="C38" s="51" t="s">
        <v>61</v>
      </c>
      <c r="D38" s="26" t="s">
        <v>47</v>
      </c>
      <c r="E38" s="26">
        <v>15000</v>
      </c>
      <c r="F38" s="13">
        <v>26</v>
      </c>
      <c r="G38" s="26">
        <v>4</v>
      </c>
      <c r="H38" s="13">
        <f>F38+G38</f>
        <v>30</v>
      </c>
      <c r="I38" s="52">
        <f>E38/30*H38</f>
        <v>15000</v>
      </c>
      <c r="J38" s="42"/>
    </row>
    <row r="39" spans="1:10" ht="32" customHeight="1">
      <c r="A39" s="11">
        <v>36</v>
      </c>
      <c r="B39" s="11">
        <v>696</v>
      </c>
      <c r="C39" s="47" t="s">
        <v>103</v>
      </c>
      <c r="D39" s="17" t="s">
        <v>47</v>
      </c>
      <c r="E39" s="17">
        <v>15000</v>
      </c>
      <c r="F39" s="11">
        <v>26</v>
      </c>
      <c r="G39" s="17">
        <v>4</v>
      </c>
      <c r="H39" s="11">
        <f t="shared" si="0"/>
        <v>30</v>
      </c>
      <c r="I39" s="8">
        <f t="shared" si="1"/>
        <v>15000</v>
      </c>
      <c r="J39" s="9"/>
    </row>
    <row r="40" spans="1:10" ht="32" customHeight="1">
      <c r="A40" s="53"/>
      <c r="B40" s="53"/>
      <c r="C40" s="54"/>
      <c r="D40" s="55" t="s">
        <v>0</v>
      </c>
      <c r="E40" s="56">
        <f>SUM(E4:E39)</f>
        <v>433000</v>
      </c>
      <c r="F40" s="56">
        <f>SUM(F4:F39)</f>
        <v>846.5</v>
      </c>
      <c r="G40" s="56">
        <f>SUM(G4:G39)</f>
        <v>133</v>
      </c>
      <c r="H40" s="56">
        <f>SUM(H4:H39)</f>
        <v>979.5</v>
      </c>
      <c r="I40" s="56">
        <f>SUM(I4:I39)</f>
        <v>394250.00000000006</v>
      </c>
      <c r="J40" s="53"/>
    </row>
    <row r="41" spans="1:10" ht="25.5" customHeight="1">
      <c r="A41" s="57"/>
      <c r="B41" s="58"/>
      <c r="C41" s="58"/>
      <c r="D41" s="58"/>
      <c r="E41" s="58"/>
      <c r="F41" s="58"/>
      <c r="G41" s="58"/>
      <c r="H41" s="58"/>
      <c r="I41" s="58"/>
      <c r="J41" s="59"/>
    </row>
    <row r="42" spans="1:10" ht="25.5" customHeight="1">
      <c r="A42" s="31"/>
      <c r="B42" s="32"/>
      <c r="C42" s="34"/>
      <c r="D42" s="35"/>
      <c r="E42" s="32"/>
      <c r="F42" s="32"/>
      <c r="G42" s="32"/>
      <c r="H42" s="32"/>
      <c r="I42" s="32"/>
      <c r="J42" s="33"/>
    </row>
    <row r="43" spans="1:10" ht="15.5">
      <c r="A43" s="36"/>
      <c r="B43" s="61" t="s">
        <v>3</v>
      </c>
      <c r="C43" s="61"/>
      <c r="D43" s="37"/>
      <c r="E43" s="38"/>
      <c r="F43" s="38"/>
      <c r="G43" s="38"/>
      <c r="H43" s="38" t="s">
        <v>79</v>
      </c>
      <c r="I43" s="38"/>
      <c r="J43" s="39"/>
    </row>
  </sheetData>
  <mergeCells count="3">
    <mergeCell ref="A1:J1"/>
    <mergeCell ref="A2:J2"/>
    <mergeCell ref="B43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p</dc:creator>
  <cp:lastModifiedBy>Swathy S</cp:lastModifiedBy>
  <cp:lastPrinted>2026-08-04T06:34:15Z</cp:lastPrinted>
  <dcterms:created xsi:type="dcterms:W3CDTF">2026-03-11T04:46:41Z</dcterms:created>
  <dcterms:modified xsi:type="dcterms:W3CDTF">2026-08-04T09:59:23Z</dcterms:modified>
</cp:coreProperties>
</file>