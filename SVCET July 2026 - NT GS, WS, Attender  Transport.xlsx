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3"/>
  </bookViews>
  <sheets>
    <sheet name="Security" sheetId="1" r:id="rId1"/>
    <sheet name=" Attender" sheetId="2" r:id="rId2"/>
    <sheet name="Garden Staff" sheetId="3" r:id="rId3"/>
    <sheet name="Transport" sheetId="9" r:id="rId4"/>
    <sheet name="HK -Other Bank" sheetId="4" state="hidden" r:id="rId5"/>
    <sheet name=" Attender   &amp; Transport (2)" sheetId="5" state="hidden" r:id="rId6"/>
    <sheet name="Sheet3" sheetId="6" state="hidden" r:id="rId7"/>
    <sheet name="HK PNB" sheetId="7" state="hidden" r:id="rId8"/>
    <sheet name="SECURITY (2)" sheetId="8" state="hidden" r:id="rId9"/>
  </sheets>
  <definedNames>
    <definedName name="_xlnm.Print_Titles" localSheetId="1">' Attender'!$3:$3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<sst xmlns="http://schemas.openxmlformats.org/spreadsheetml/2006/main" count="929" uniqueCount="457">
  <si>
    <t>Sri Venkateswara College of Engineering and Technology</t>
  </si>
  <si>
    <t>Security &amp; Water Staff - Salary Bill for the Month of July - 2026</t>
  </si>
  <si>
    <t>Sl. 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</si>
  <si>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</si>
  <si>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</si>
  <si>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</si>
  <si>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</si>
  <si>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</si>
  <si>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</si>
  <si>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</si>
  <si>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No. of
Days</t>
  </si>
  <si>
    <t>Basic
+ AGP</t>
  </si>
  <si>
    <t>DA</t>
  </si>
  <si>
    <t>HRA</t>
  </si>
  <si>
    <t>Arrears</t>
  </si>
  <si>
    <t>FA</t>
  </si>
  <si>
    <t>TA/SP</t>
  </si>
  <si>
    <t>Gross
Total</t>
  </si>
  <si>
    <t>EPF</t>
  </si>
  <si>
    <t>Deduction</t>
  </si>
  <si>
    <t>Other Deductions</t>
  </si>
  <si>
    <t>WF</t>
  </si>
  <si>
    <t>Cell</t>
  </si>
  <si>
    <t>EB</t>
  </si>
  <si>
    <t>Mess</t>
  </si>
  <si>
    <t>Bus/others</t>
  </si>
  <si>
    <t>Tot Ded</t>
  </si>
  <si>
    <t>Net
Salary</t>
  </si>
  <si>
    <t>PNB Account
Number</t>
  </si>
  <si>
    <t>Bank Name</t>
  </si>
  <si>
    <t>NON-TEACHING STAFF</t>
  </si>
  <si>
    <t>Security &amp; Water Staff</t>
  </si>
  <si>
    <t>M.Nataraja Reddy</t>
  </si>
  <si>
    <t>Security Officer</t>
  </si>
  <si>
    <t>4017000402713962</t>
  </si>
  <si>
    <t>PUNB0401700</t>
  </si>
  <si>
    <t>M. Gopala Krishna</t>
  </si>
  <si>
    <t>Security (Ex-Army)</t>
  </si>
  <si>
    <t>157510100058952</t>
  </si>
  <si>
    <t>UBIN0815756</t>
  </si>
  <si>
    <t xml:space="preserve">P. Yesudass </t>
  </si>
  <si>
    <t>32320100004128</t>
  </si>
  <si>
    <t>BARB0CHITAP</t>
  </si>
  <si>
    <t>P. Anjaiah</t>
  </si>
  <si>
    <t>Security (Civil)</t>
  </si>
  <si>
    <t>008110100097252</t>
  </si>
  <si>
    <t>UBIN0800813</t>
  </si>
  <si>
    <t xml:space="preserve">M. Rajagopal Reddy </t>
  </si>
  <si>
    <t>4017000102774878</t>
  </si>
  <si>
    <t xml:space="preserve">P. Lokanadhan </t>
  </si>
  <si>
    <t>4017000402724898</t>
  </si>
  <si>
    <t xml:space="preserve">V. Raja Shekhar </t>
  </si>
  <si>
    <t>4017000402728645</t>
  </si>
  <si>
    <t>K. Ramamurthy</t>
  </si>
  <si>
    <t>10859954547</t>
  </si>
  <si>
    <t>SBIN0006557</t>
  </si>
  <si>
    <t xml:space="preserve">K. Munirathnam </t>
  </si>
  <si>
    <t>31765036822</t>
  </si>
  <si>
    <t>SBIN0006514</t>
  </si>
  <si>
    <t>K. Murali</t>
  </si>
  <si>
    <t>110115414377</t>
  </si>
  <si>
    <t>CNRB0000852</t>
  </si>
  <si>
    <t>K. Dilli Babu</t>
  </si>
  <si>
    <t>641110007154109</t>
  </si>
  <si>
    <t>UBIN0CG7999</t>
  </si>
  <si>
    <t>K. Chinnabba</t>
  </si>
  <si>
    <t>025422010002246</t>
  </si>
  <si>
    <t>UBIN0902543</t>
  </si>
  <si>
    <t>DOJ: 07.07.2026</t>
  </si>
  <si>
    <t>M. Ramesh</t>
  </si>
  <si>
    <t>44679395432</t>
  </si>
  <si>
    <t>N. Sivaiah</t>
  </si>
  <si>
    <t>0852101029344</t>
  </si>
  <si>
    <t xml:space="preserve">S. Chotabba </t>
  </si>
  <si>
    <t>229312010000061</t>
  </si>
  <si>
    <t>UBIN0822931</t>
  </si>
  <si>
    <t>N. Rajendra</t>
  </si>
  <si>
    <t>10859980077</t>
  </si>
  <si>
    <t>SBIN0000825</t>
  </si>
  <si>
    <t xml:space="preserve">S. Surya Prakash </t>
  </si>
  <si>
    <t>8140320238</t>
  </si>
  <si>
    <t>IDIB000C026</t>
  </si>
  <si>
    <t>G. Krishnaiah</t>
  </si>
  <si>
    <t>30894276239</t>
  </si>
  <si>
    <t>DOJ: 15.07.2026</t>
  </si>
  <si>
    <t>E. Ganapathi</t>
  </si>
  <si>
    <t>20367207613</t>
  </si>
  <si>
    <t>SBIN0010105</t>
  </si>
  <si>
    <t xml:space="preserve">M. Chandra Shekar </t>
  </si>
  <si>
    <t>643410013208406</t>
  </si>
  <si>
    <t xml:space="preserve">K. Prakash Naidu </t>
  </si>
  <si>
    <t>379901000003499</t>
  </si>
  <si>
    <t>IOBA0000930</t>
  </si>
  <si>
    <t xml:space="preserve">V. Chandraiah </t>
  </si>
  <si>
    <t>641110021505130</t>
  </si>
  <si>
    <t>K. Radhika</t>
  </si>
  <si>
    <t>Security</t>
  </si>
  <si>
    <t>520101072783245</t>
  </si>
  <si>
    <t xml:space="preserve">G. Amrutha </t>
  </si>
  <si>
    <t>025422010002206</t>
  </si>
  <si>
    <t xml:space="preserve">P. Sunitha </t>
  </si>
  <si>
    <t>6257144152</t>
  </si>
  <si>
    <t>IDIB000G031</t>
  </si>
  <si>
    <t>B. V. Ganesh</t>
  </si>
  <si>
    <t>S. Sarala</t>
  </si>
  <si>
    <t xml:space="preserve">Women Security </t>
  </si>
  <si>
    <t>UTIB0003195</t>
  </si>
  <si>
    <t>P. Chengalrayului</t>
  </si>
  <si>
    <t>4017000402717649</t>
  </si>
  <si>
    <t>V. Neeraja</t>
  </si>
  <si>
    <t>Water woman (Girls Hostel)</t>
  </si>
  <si>
    <t>520101264567520</t>
  </si>
  <si>
    <t>UBIN0932787</t>
  </si>
  <si>
    <t>T Murali</t>
  </si>
  <si>
    <t>Water man (Boys Hostel)</t>
  </si>
  <si>
    <t>40176839707</t>
  </si>
  <si>
    <t>T. Raghu</t>
  </si>
  <si>
    <t>4017000102780958</t>
  </si>
  <si>
    <t>K. Chitti Babu</t>
  </si>
  <si>
    <t>4017000402722775</t>
  </si>
  <si>
    <t>M. Murugeshan</t>
  </si>
  <si>
    <t>33077044831</t>
  </si>
  <si>
    <t>D0J: 02.07.2026</t>
  </si>
  <si>
    <t xml:space="preserve">P.Munirathnam Reddy </t>
  </si>
  <si>
    <t>4017000102780569</t>
  </si>
  <si>
    <t xml:space="preserve">P Prameela </t>
  </si>
  <si>
    <t>4017000102782886</t>
  </si>
  <si>
    <t>P Sarana</t>
  </si>
  <si>
    <t>Water woman (Kerela Hostel)</t>
  </si>
  <si>
    <t>110115998908</t>
  </si>
  <si>
    <t>S Lalitha</t>
  </si>
  <si>
    <t>3736101000797</t>
  </si>
  <si>
    <t>CNRB0003734</t>
  </si>
  <si>
    <t>Y Kanchana</t>
  </si>
  <si>
    <t>093001000022033</t>
  </si>
  <si>
    <t>S. Suresh</t>
  </si>
  <si>
    <t>922010062575412</t>
  </si>
  <si>
    <t>UTIB0000275</t>
  </si>
  <si>
    <t>N. Prasad Reddy</t>
  </si>
  <si>
    <t>327822010001127</t>
  </si>
  <si>
    <t xml:space="preserve">Total </t>
  </si>
  <si>
    <t>Prepared By</t>
  </si>
  <si>
    <t xml:space="preserve"> Verified By </t>
  </si>
  <si>
    <t>HR</t>
  </si>
  <si>
    <t>AO</t>
  </si>
  <si>
    <t xml:space="preserve"> Accounts Officer </t>
  </si>
  <si>
    <t>Principal</t>
  </si>
  <si>
    <t>Vice Chairman</t>
  </si>
  <si>
    <t>Attender - Salary Bill for the Month of July - 2026</t>
  </si>
  <si>
    <t>Allowance</t>
  </si>
  <si>
    <t>PT</t>
  </si>
  <si>
    <t>Bus/ others</t>
  </si>
  <si>
    <t>Administrative Office</t>
  </si>
  <si>
    <t>A. Nagaraja Reddy</t>
  </si>
  <si>
    <t>Attender</t>
  </si>
  <si>
    <t>4017000402722456</t>
  </si>
  <si>
    <t>P. Ravi Mohan</t>
  </si>
  <si>
    <t>4017000402714013</t>
  </si>
  <si>
    <t>T.Munirathnam</t>
  </si>
  <si>
    <t>4017000402714484</t>
  </si>
  <si>
    <t>K Paradesi</t>
  </si>
  <si>
    <t>4017000402714642</t>
  </si>
  <si>
    <t>N Krishna</t>
  </si>
  <si>
    <t>4017000402718240</t>
  </si>
  <si>
    <t>G M Jagannadham</t>
  </si>
  <si>
    <t>110115059863</t>
  </si>
  <si>
    <t>M Vasantha</t>
  </si>
  <si>
    <t>4017000402729361</t>
  </si>
  <si>
    <t>K.Prameela</t>
  </si>
  <si>
    <t>4017000402718772</t>
  </si>
  <si>
    <t>G Anitha</t>
  </si>
  <si>
    <t>110116057040</t>
  </si>
  <si>
    <t>K Swathi</t>
  </si>
  <si>
    <t>110116062270</t>
  </si>
  <si>
    <t>P Hema</t>
  </si>
  <si>
    <t>110115066472</t>
  </si>
  <si>
    <t>G R Vijayalakshmi</t>
  </si>
  <si>
    <t>110116309400</t>
  </si>
  <si>
    <t>K. M. Deepa</t>
  </si>
  <si>
    <t>34562692635</t>
  </si>
  <si>
    <t>SBIN0002773</t>
  </si>
  <si>
    <t>B Sujatha</t>
  </si>
  <si>
    <t>4017000402714864</t>
  </si>
  <si>
    <t xml:space="preserve">Adilakshmi </t>
  </si>
  <si>
    <t>4017000402717755</t>
  </si>
  <si>
    <t>G Chiranjeevi</t>
  </si>
  <si>
    <t>42487796311</t>
  </si>
  <si>
    <t>SBIN0016528</t>
  </si>
  <si>
    <t>Meenamma</t>
  </si>
  <si>
    <t>32392200003254</t>
  </si>
  <si>
    <t>CNRB0013239</t>
  </si>
  <si>
    <t>T. S. Govindarajulu</t>
  </si>
  <si>
    <t>4813155000002592</t>
  </si>
  <si>
    <t>KVBL0004813</t>
  </si>
  <si>
    <t xml:space="preserve">G Latha </t>
  </si>
  <si>
    <t>20446184446</t>
  </si>
  <si>
    <t>G. Rajendran</t>
  </si>
  <si>
    <t>10494227504</t>
  </si>
  <si>
    <t>SBIN0007083</t>
  </si>
  <si>
    <t>DOJ: 21.07.2026</t>
  </si>
  <si>
    <t>T. Dillamma</t>
  </si>
  <si>
    <t>S. Poovala</t>
  </si>
  <si>
    <t>1401180000003226</t>
  </si>
  <si>
    <t>KVBL0001401</t>
  </si>
  <si>
    <t>G. Venkata Lakshmi</t>
  </si>
  <si>
    <t>4017000402722447</t>
  </si>
  <si>
    <t>Garden Staff - Salary Bill for the Month of July - 2026</t>
  </si>
  <si>
    <t>No of Days</t>
  </si>
  <si>
    <t>IT</t>
  </si>
  <si>
    <t>Net Salary</t>
  </si>
  <si>
    <t>Account Number</t>
  </si>
  <si>
    <t>Garden Staff</t>
  </si>
  <si>
    <t>N Sogaddu</t>
  </si>
  <si>
    <t>Supervisor</t>
  </si>
  <si>
    <t>RO plant Maintenance (SVCET Campus)</t>
  </si>
  <si>
    <t>110115759910</t>
  </si>
  <si>
    <t xml:space="preserve">A Nagaraja </t>
  </si>
  <si>
    <t xml:space="preserve">Gardening Supervisor </t>
  </si>
  <si>
    <t>6133645718</t>
  </si>
  <si>
    <t>IDIB000K009</t>
  </si>
  <si>
    <t>G Lokanadham</t>
  </si>
  <si>
    <t>Gardener</t>
  </si>
  <si>
    <t>Water man for Gardens (SVCET Campus)</t>
  </si>
  <si>
    <t>641110000655368</t>
  </si>
  <si>
    <t>M Indrani</t>
  </si>
  <si>
    <t>Housekeeping</t>
  </si>
  <si>
    <t>Gardening Work</t>
  </si>
  <si>
    <t>4017000402724728</t>
  </si>
  <si>
    <t xml:space="preserve">P Yarraiah </t>
  </si>
  <si>
    <t>4017000402722508</t>
  </si>
  <si>
    <t>R Jayaramaiah</t>
  </si>
  <si>
    <t>4017000402722438</t>
  </si>
  <si>
    <t>G Vasantha</t>
  </si>
  <si>
    <t>4017000402724311</t>
  </si>
  <si>
    <t>N C Aruna</t>
  </si>
  <si>
    <t>110115896571</t>
  </si>
  <si>
    <t>N Aruna</t>
  </si>
  <si>
    <t>110115879255</t>
  </si>
  <si>
    <t>S Amudha</t>
  </si>
  <si>
    <t>4017000102775451</t>
  </si>
  <si>
    <t>R Vasantha</t>
  </si>
  <si>
    <t>867010110002694</t>
  </si>
  <si>
    <t>BKID0008670</t>
  </si>
  <si>
    <t>R Manila</t>
  </si>
  <si>
    <t>110117168420</t>
  </si>
  <si>
    <t>M Vasanthamma</t>
  </si>
  <si>
    <t>4017000102776186</t>
  </si>
  <si>
    <t>M Kalaivani</t>
  </si>
  <si>
    <t>6781004740</t>
  </si>
  <si>
    <t>IDIB000B204</t>
  </si>
  <si>
    <t>P Manjula</t>
  </si>
  <si>
    <t>110115777728</t>
  </si>
  <si>
    <t>B Radha Krishna</t>
  </si>
  <si>
    <t>1164104000100113</t>
  </si>
  <si>
    <t>IBKL0001164</t>
  </si>
  <si>
    <t>N Govindaiah</t>
  </si>
  <si>
    <t>Water man</t>
  </si>
  <si>
    <t>110115882703</t>
  </si>
  <si>
    <t>Driver - Salary Bill for the Month of July - 2026</t>
  </si>
  <si>
    <t>No of
Days</t>
  </si>
  <si>
    <t>Transport</t>
  </si>
  <si>
    <t>B Lokesh</t>
  </si>
  <si>
    <t>SR Puram Driver</t>
  </si>
  <si>
    <t>226012010001507</t>
  </si>
  <si>
    <t>UBIN0822604</t>
  </si>
  <si>
    <t>K Babu</t>
  </si>
  <si>
    <t>Tractor Driver</t>
  </si>
  <si>
    <t>4017000402727770</t>
  </si>
  <si>
    <t>K Gopal</t>
  </si>
  <si>
    <t>Cleaner</t>
  </si>
  <si>
    <t>4017000402717490</t>
  </si>
  <si>
    <t>Shiva</t>
  </si>
  <si>
    <t>Principal Driver</t>
  </si>
  <si>
    <t>110114092551</t>
  </si>
  <si>
    <t>Viswanadha Naidu</t>
  </si>
  <si>
    <t>4017000402717472</t>
  </si>
  <si>
    <t>K Bhargav</t>
  </si>
  <si>
    <t>Pallur Driver</t>
  </si>
  <si>
    <t>923010022932014</t>
  </si>
  <si>
    <t>P Sudharshan Babu</t>
  </si>
  <si>
    <t>Tirupathi Student Driver</t>
  </si>
  <si>
    <t>110220389411</t>
  </si>
  <si>
    <t xml:space="preserve">T Venkataramana </t>
  </si>
  <si>
    <t>Bakrapet Driver</t>
  </si>
  <si>
    <t>044110100047716</t>
  </si>
  <si>
    <t>UBIN0804410</t>
  </si>
  <si>
    <t>V. Hema Chandra</t>
  </si>
  <si>
    <t>Aragonda Driver</t>
  </si>
  <si>
    <t>32331161737</t>
  </si>
  <si>
    <t xml:space="preserve">D. Eswar </t>
  </si>
  <si>
    <t>Car Driver</t>
  </si>
  <si>
    <t>110230182873</t>
  </si>
  <si>
    <t xml:space="preserve">P. Babu </t>
  </si>
  <si>
    <t>110061409577</t>
  </si>
  <si>
    <t>A. Sivaiah</t>
  </si>
  <si>
    <t>Palamaneru Driver</t>
  </si>
  <si>
    <t>643510000000550</t>
  </si>
  <si>
    <t>P. Bhanu Prakash</t>
  </si>
  <si>
    <t>62342847649</t>
  </si>
  <si>
    <t>SBIN0040927</t>
  </si>
  <si>
    <t>A. Tirumalaiah</t>
  </si>
  <si>
    <t>Driver</t>
  </si>
  <si>
    <t>45280702005</t>
  </si>
  <si>
    <t>SBIN0017926</t>
  </si>
  <si>
    <t>D. Siva</t>
  </si>
  <si>
    <t>7084531080</t>
  </si>
  <si>
    <t>IDIB000P195</t>
  </si>
  <si>
    <t>A. Kishor Kumar Murgan</t>
  </si>
  <si>
    <t>110321665037</t>
  </si>
  <si>
    <t>DOJ: 20.07.2026</t>
  </si>
  <si>
    <t>U. Dwarakanath</t>
  </si>
  <si>
    <t>349101000012366</t>
  </si>
  <si>
    <t>IOBA0003491</t>
  </si>
  <si>
    <t>T. Surendera</t>
  </si>
  <si>
    <t>VC Driver</t>
  </si>
  <si>
    <t>571810110005369</t>
  </si>
  <si>
    <t>BKID0005718</t>
  </si>
  <si>
    <t>Sri Venkateswara College Of Engineering and Technology</t>
  </si>
  <si>
    <t>Salary Bill for the Month of May 2021</t>
  </si>
  <si>
    <t>S No</t>
  </si>
  <si>
    <t>D.SNo.</t>
  </si>
  <si>
    <t>Housekeeping Staff</t>
  </si>
  <si>
    <t xml:space="preserve">N MANJULA </t>
  </si>
  <si>
    <t>IDIB0SGB001</t>
  </si>
  <si>
    <t>N SAGADDU</t>
  </si>
  <si>
    <t>003400101025496</t>
  </si>
  <si>
    <t>CORP0000034</t>
  </si>
  <si>
    <t>M SURESH</t>
  </si>
  <si>
    <t>G.VIJALAKSHMI</t>
  </si>
  <si>
    <t>867010110005169</t>
  </si>
  <si>
    <t>N ARUNA</t>
  </si>
  <si>
    <t>N NAGABUSHNAM</t>
  </si>
  <si>
    <t>KALEMMA</t>
  </si>
  <si>
    <t>JAMUNA</t>
  </si>
  <si>
    <t>SYNB0003170</t>
  </si>
  <si>
    <t>M Jyothi</t>
  </si>
  <si>
    <t>98305497</t>
  </si>
  <si>
    <t>A Maheswari</t>
  </si>
  <si>
    <t>50005444155</t>
  </si>
  <si>
    <t>B Puspha Latha</t>
  </si>
  <si>
    <t>92453747</t>
  </si>
  <si>
    <t>N Guravamma</t>
  </si>
  <si>
    <t>P REKHA</t>
  </si>
  <si>
    <t>S SUBHAMMA</t>
  </si>
  <si>
    <t>P MANJULA</t>
  </si>
  <si>
    <t>SUBBAMMA</t>
  </si>
  <si>
    <t>50026295107</t>
  </si>
  <si>
    <t>P.PADAMAVATHI</t>
  </si>
  <si>
    <t>Accounts Officer</t>
  </si>
  <si>
    <t>Salary Bill for the Month of May  2021</t>
  </si>
  <si>
    <t>P.Ravi Mohan</t>
  </si>
  <si>
    <t>P.Parusuraman</t>
  </si>
  <si>
    <t>4017000402716978</t>
  </si>
  <si>
    <t xml:space="preserve">T.Dillemma </t>
  </si>
  <si>
    <t>4017000402716118</t>
  </si>
  <si>
    <t>Paradesi</t>
  </si>
  <si>
    <t>VP Adilakshmi</t>
  </si>
  <si>
    <t>C.Chinnabba</t>
  </si>
  <si>
    <t>4017000402717746</t>
  </si>
  <si>
    <t>P.Manjula</t>
  </si>
  <si>
    <t>4017000402718000</t>
  </si>
  <si>
    <t>4017000102780666</t>
  </si>
  <si>
    <t>N Nagaraj</t>
  </si>
  <si>
    <t>4017000102780301</t>
  </si>
  <si>
    <t>R Rama Krishna</t>
  </si>
  <si>
    <t>4017000402728821</t>
  </si>
  <si>
    <t>M Manjunath</t>
  </si>
  <si>
    <t>4017000402725790</t>
  </si>
  <si>
    <t>Balaji</t>
  </si>
  <si>
    <t>4017000402717199</t>
  </si>
  <si>
    <t xml:space="preserve">M Hari Krishna </t>
  </si>
  <si>
    <t>4017000402728362</t>
  </si>
  <si>
    <t>N Mohan</t>
  </si>
  <si>
    <t>Yugandhar</t>
  </si>
  <si>
    <t>3735101001243</t>
  </si>
  <si>
    <t>CNRB0003735</t>
  </si>
  <si>
    <t>K.Vinayakaiah</t>
  </si>
  <si>
    <t>38943008144</t>
  </si>
  <si>
    <t>SBIN00027773</t>
  </si>
  <si>
    <t>M.Mahadevan</t>
  </si>
  <si>
    <t>4017000402719966</t>
  </si>
  <si>
    <t>G Chitty</t>
  </si>
  <si>
    <t>4017000402723950</t>
  </si>
  <si>
    <t>Papamma</t>
  </si>
  <si>
    <t>4017000102776380</t>
  </si>
  <si>
    <t>Security Staff</t>
  </si>
  <si>
    <t>T.Subramanyam</t>
  </si>
  <si>
    <t>S/G</t>
  </si>
  <si>
    <t>4017000402715696</t>
  </si>
  <si>
    <t>C.Kathavarayan</t>
  </si>
  <si>
    <t>4017000402715119</t>
  </si>
  <si>
    <t>C.Veeraraghavulu</t>
  </si>
  <si>
    <t>4017000402716349</t>
  </si>
  <si>
    <t>V.M.Subramanyam</t>
  </si>
  <si>
    <t>4017000402714411</t>
  </si>
  <si>
    <t>V.Guna Sekharan</t>
  </si>
  <si>
    <t>4017000402713908</t>
  </si>
  <si>
    <t>Siraj Babu</t>
  </si>
  <si>
    <t>4017000402715906</t>
  </si>
  <si>
    <t>R Chinnaiah</t>
  </si>
  <si>
    <t>4017000402722243</t>
  </si>
  <si>
    <t xml:space="preserve">P Krishna Moorthy </t>
  </si>
  <si>
    <t>4017000102774948</t>
  </si>
  <si>
    <t>M.Guna Sekharan</t>
  </si>
  <si>
    <t>4017000402722155</t>
  </si>
  <si>
    <t xml:space="preserve">M Raja Gopal Reddy </t>
  </si>
  <si>
    <t xml:space="preserve">P Subramanyam </t>
  </si>
  <si>
    <t>4017000402715650</t>
  </si>
  <si>
    <t xml:space="preserve">A.Subramanyam </t>
  </si>
  <si>
    <t>4017000102775150</t>
  </si>
  <si>
    <t>P Chengalrayulu</t>
  </si>
  <si>
    <t>M Krishnamoorthy reddy</t>
  </si>
  <si>
    <t>4017000402718231</t>
  </si>
  <si>
    <t>T.VENKATESULU</t>
  </si>
  <si>
    <t>4017000102780435</t>
  </si>
  <si>
    <t>G.SUBRAMANYAM</t>
  </si>
  <si>
    <t>4017000402718602</t>
  </si>
  <si>
    <t>T.PURUSHOTHAM</t>
  </si>
  <si>
    <t>4017000102780596</t>
  </si>
  <si>
    <t>C MURALI REDDY</t>
  </si>
  <si>
    <t>4017000102780930</t>
  </si>
  <si>
    <t>M.DORAI RAJ</t>
  </si>
  <si>
    <t>4017000102780550</t>
  </si>
  <si>
    <t>K.CHITTIBABU</t>
  </si>
  <si>
    <t>J.JHOTHISWARAN</t>
  </si>
  <si>
    <t>4017000102780718</t>
  </si>
  <si>
    <t>P.MUNIRATHNAM REDDY</t>
  </si>
  <si>
    <t>T RAGHU</t>
  </si>
  <si>
    <t>P.MANOHAR</t>
  </si>
  <si>
    <t>4017000102780639</t>
  </si>
  <si>
    <t>C G.SUBRAMANYAM</t>
  </si>
  <si>
    <t>4017000102780514</t>
  </si>
  <si>
    <t xml:space="preserve">P.REDDAPPA </t>
  </si>
  <si>
    <t>4017000102780578</t>
  </si>
  <si>
    <t>K.VENUGOPAL</t>
  </si>
  <si>
    <t>4017000102780648</t>
  </si>
  <si>
    <t>N.HARI BABU</t>
  </si>
  <si>
    <t>4017000102780772</t>
  </si>
  <si>
    <t>V.BALASUBRAMANYAM NAIDU</t>
  </si>
  <si>
    <t>4017000102780763</t>
  </si>
  <si>
    <t xml:space="preserve">M.CHANDRA SEKAR </t>
  </si>
  <si>
    <t>4017000102780745</t>
  </si>
  <si>
    <t>K MUNASWAMY</t>
  </si>
  <si>
    <t>4017000102734621</t>
  </si>
  <si>
    <t>T. BALA MURUGAN</t>
  </si>
  <si>
    <t>4017000102780620</t>
  </si>
  <si>
    <t>P RAMARAJ</t>
  </si>
  <si>
    <t>4017000102781133</t>
  </si>
  <si>
    <t>K.MUTYALU</t>
  </si>
  <si>
    <t>S/WG</t>
  </si>
  <si>
    <t>4017000402716677</t>
  </si>
  <si>
    <t>K DEVENDRAN</t>
  </si>
  <si>
    <t>4017000402722191</t>
  </si>
  <si>
    <t>M MANOHAR</t>
  </si>
  <si>
    <t>40170000102781285</t>
  </si>
  <si>
    <t>V.DEVI</t>
  </si>
  <si>
    <t>4017000102780754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</si>
</sst>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  <numFmt numFmtId="179" formatCode="_ * #,##0_ ;_ * \-#,##0_ ;_ * &quot;-&quot;??_ ;_ @_ "/>
  </numFmts>
  <fonts count="37">
    <font>
      <sz val="11"/>
      <name val="Calibri"/>
      <charset val="134"/>
      <scheme val="minor"/>
    </font>
    <font>
      <b/>
      <sz val="10"/>
      <color rgb="FF17365D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sz val="11"/>
      <name val="Calibri"/>
      <charset val="134"/>
    </font>
    <font>
      <sz val="11"/>
      <name val="Arial"/>
      <charset val="134"/>
    </font>
    <font>
      <sz val="10"/>
      <name val="Times New Roman"/>
      <charset val="134"/>
    </font>
    <font>
      <sz val="11"/>
      <name val="Times New Roman"/>
      <charset val="134"/>
    </font>
    <font>
      <b/>
      <sz val="10"/>
      <color rgb="FF17365D"/>
      <name val="Times New Roman"/>
      <charset val="134"/>
    </font>
    <font>
      <b/>
      <sz val="10"/>
      <name val="Times New Roman"/>
      <charset val="134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b/>
      <sz val="11"/>
      <name val="Times New Roman"/>
      <charset val="134"/>
    </font>
    <font>
      <sz val="10"/>
      <color rgb="FFFF0000"/>
      <name val="Times New Roman"/>
      <charset val="134"/>
    </font>
    <font>
      <sz val="9"/>
      <name val="Times New Roman"/>
      <charset val="134"/>
    </font>
    <font>
      <b/>
      <u val="doubleAccounting"/>
      <sz val="10"/>
      <name val="Times New Roman"/>
      <charset val="134"/>
    </font>
    <font>
      <u val="doubleAccounting"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rgb="FFDAEEF3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9" borderId="1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22" applyNumberFormat="0" applyAlignment="0" applyProtection="0">
      <alignment vertical="center"/>
    </xf>
    <xf numFmtId="0" fontId="27" fillId="11" borderId="23" applyNumberFormat="0" applyAlignment="0" applyProtection="0">
      <alignment vertical="center"/>
    </xf>
    <xf numFmtId="0" fontId="28" fillId="11" borderId="22" applyNumberFormat="0" applyAlignment="0" applyProtection="0">
      <alignment vertical="center"/>
    </xf>
    <xf numFmtId="0" fontId="29" fillId="12" borderId="24" applyNumberFormat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17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3" fontId="3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178" fontId="3" fillId="0" borderId="0" xfId="0" applyNumberFormat="1" applyFont="1" applyAlignment="1">
      <alignment vertical="center" wrapText="1"/>
    </xf>
    <xf numFmtId="178" fontId="2" fillId="0" borderId="0" xfId="0" applyNumberFormat="1" applyFont="1" applyAlignment="1">
      <alignment horizontal="center" vertical="center" wrapText="1"/>
    </xf>
    <xf numFmtId="43" fontId="2" fillId="0" borderId="0" xfId="0" applyNumberFormat="1" applyFont="1" applyAlignment="1">
      <alignment horizontal="center" vertical="center"/>
    </xf>
    <xf numFmtId="178" fontId="3" fillId="2" borderId="0" xfId="0" applyNumberFormat="1" applyFont="1" applyFill="1" applyAlignment="1">
      <alignment vertical="center" wrapText="1"/>
    </xf>
    <xf numFmtId="178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vertical="center" wrapText="1"/>
    </xf>
    <xf numFmtId="43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left" vertical="center" wrapText="1"/>
    </xf>
    <xf numFmtId="43" fontId="2" fillId="0" borderId="1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vertical="center"/>
    </xf>
    <xf numFmtId="178" fontId="3" fillId="0" borderId="2" xfId="0" applyNumberFormat="1" applyFont="1" applyBorder="1" applyAlignment="1">
      <alignment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43" fontId="3" fillId="0" borderId="2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43" fontId="3" fillId="0" borderId="0" xfId="0" applyNumberFormat="1" applyFont="1" applyAlignment="1">
      <alignment horizontal="left" vertical="center" wrapText="1"/>
    </xf>
    <xf numFmtId="43" fontId="2" fillId="0" borderId="0" xfId="0" applyNumberFormat="1" applyFont="1" applyAlignment="1">
      <alignment horizontal="left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178" fontId="3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43" fontId="9" fillId="0" borderId="9" xfId="0" applyNumberFormat="1" applyFont="1" applyBorder="1" applyAlignment="1">
      <alignment horizontal="center" vertical="center" wrapText="1"/>
    </xf>
    <xf numFmtId="178" fontId="6" fillId="0" borderId="9" xfId="0" applyNumberFormat="1" applyFont="1" applyBorder="1" applyAlignment="1">
      <alignment horizontal="center" vertical="center"/>
    </xf>
    <xf numFmtId="178" fontId="9" fillId="3" borderId="9" xfId="0" applyNumberFormat="1" applyFont="1" applyFill="1" applyBorder="1" applyAlignment="1">
      <alignment vertical="center" wrapText="1"/>
    </xf>
    <xf numFmtId="178" fontId="6" fillId="0" borderId="9" xfId="0" applyNumberFormat="1" applyFont="1" applyBorder="1" applyAlignment="1">
      <alignment horizontal="center" vertical="center" wrapText="1"/>
    </xf>
    <xf numFmtId="4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8" fontId="9" fillId="0" borderId="9" xfId="0" applyNumberFormat="1" applyFont="1" applyBorder="1" applyAlignment="1">
      <alignment horizontal="center" vertical="center"/>
    </xf>
    <xf numFmtId="178" fontId="6" fillId="0" borderId="9" xfId="0" applyNumberFormat="1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178" fontId="6" fillId="0" borderId="9" xfId="0" applyNumberFormat="1" applyFont="1" applyFill="1" applyBorder="1" applyAlignment="1">
      <alignment horizontal="center" vertical="center" wrapText="1"/>
    </xf>
    <xf numFmtId="43" fontId="6" fillId="0" borderId="9" xfId="0" applyNumberFormat="1" applyFont="1" applyFill="1" applyBorder="1" applyAlignment="1">
      <alignment horizontal="center" vertical="center" wrapText="1"/>
    </xf>
    <xf numFmtId="43" fontId="6" fillId="0" borderId="9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178" fontId="6" fillId="0" borderId="9" xfId="0" applyNumberFormat="1" applyFont="1" applyBorder="1" applyAlignment="1">
      <alignment vertical="center" wrapText="1"/>
    </xf>
    <xf numFmtId="43" fontId="6" fillId="0" borderId="9" xfId="0" applyNumberFormat="1" applyFont="1" applyBorder="1" applyAlignment="1">
      <alignment horizontal="center" vertical="center" wrapText="1"/>
    </xf>
    <xf numFmtId="178" fontId="11" fillId="0" borderId="9" xfId="0" applyNumberFormat="1" applyFont="1" applyBorder="1" applyAlignment="1">
      <alignment vertical="center" wrapText="1"/>
    </xf>
    <xf numFmtId="178" fontId="11" fillId="0" borderId="9" xfId="0" applyNumberFormat="1" applyFont="1" applyBorder="1" applyAlignment="1">
      <alignment horizontal="center" vertical="center" wrapText="1"/>
    </xf>
    <xf numFmtId="178" fontId="11" fillId="0" borderId="9" xfId="0" applyNumberFormat="1" applyFont="1" applyBorder="1" applyAlignment="1">
      <alignment horizontal="center" vertical="center"/>
    </xf>
    <xf numFmtId="43" fontId="11" fillId="0" borderId="9" xfId="0" applyNumberFormat="1" applyFont="1" applyBorder="1" applyAlignment="1">
      <alignment horizontal="center" vertical="center" wrapText="1"/>
    </xf>
    <xf numFmtId="43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78" fontId="6" fillId="0" borderId="9" xfId="0" applyNumberFormat="1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center" vertical="center" wrapText="1"/>
    </xf>
    <xf numFmtId="178" fontId="6" fillId="4" borderId="9" xfId="0" applyNumberFormat="1" applyFont="1" applyFill="1" applyBorder="1" applyAlignment="1">
      <alignment horizontal="center" vertical="center"/>
    </xf>
    <xf numFmtId="178" fontId="6" fillId="4" borderId="9" xfId="0" applyNumberFormat="1" applyFont="1" applyFill="1" applyBorder="1" applyAlignment="1">
      <alignment vertical="center" wrapText="1"/>
    </xf>
    <xf numFmtId="178" fontId="6" fillId="4" borderId="9" xfId="0" applyNumberFormat="1" applyFont="1" applyFill="1" applyBorder="1" applyAlignment="1">
      <alignment horizontal="center" vertical="center" wrapText="1"/>
    </xf>
    <xf numFmtId="43" fontId="6" fillId="4" borderId="9" xfId="0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178" fontId="9" fillId="0" borderId="9" xfId="0" applyNumberFormat="1" applyFont="1" applyBorder="1" applyAlignment="1">
      <alignment vertical="center" wrapText="1"/>
    </xf>
    <xf numFmtId="178" fontId="9" fillId="0" borderId="9" xfId="0" applyNumberFormat="1" applyFont="1" applyBorder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vertical="center" wrapText="1"/>
    </xf>
    <xf numFmtId="178" fontId="9" fillId="0" borderId="0" xfId="0" applyNumberFormat="1" applyFont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78" fontId="12" fillId="0" borderId="10" xfId="0" applyNumberFormat="1" applyFont="1" applyBorder="1" applyAlignment="1">
      <alignment horizontal="center" vertical="center" wrapText="1"/>
    </xf>
    <xf numFmtId="178" fontId="12" fillId="0" borderId="10" xfId="0" applyNumberFormat="1" applyFont="1" applyBorder="1" applyAlignment="1">
      <alignment horizontal="center" wrapText="1"/>
    </xf>
    <xf numFmtId="178" fontId="12" fillId="0" borderId="10" xfId="0" applyNumberFormat="1" applyFont="1" applyBorder="1" applyAlignment="1">
      <alignment vertical="center" wrapText="1"/>
    </xf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178" fontId="12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5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9" fillId="0" borderId="9" xfId="0" applyFont="1" applyBorder="1" applyAlignment="1">
      <alignment vertical="center" wrapText="1"/>
    </xf>
    <xf numFmtId="43" fontId="9" fillId="0" borderId="9" xfId="0" applyNumberFormat="1" applyFont="1" applyBorder="1" applyAlignment="1">
      <alignment horizontal="left" vertical="center" wrapText="1"/>
    </xf>
    <xf numFmtId="178" fontId="9" fillId="6" borderId="9" xfId="0" applyNumberFormat="1" applyFont="1" applyFill="1" applyBorder="1" applyAlignment="1">
      <alignment vertical="center" wrapText="1"/>
    </xf>
    <xf numFmtId="43" fontId="6" fillId="0" borderId="9" xfId="0" applyNumberFormat="1" applyFont="1" applyBorder="1" applyAlignment="1">
      <alignment horizontal="left" vertical="center"/>
    </xf>
    <xf numFmtId="178" fontId="6" fillId="0" borderId="11" xfId="0" applyNumberFormat="1" applyFont="1" applyBorder="1" applyAlignment="1">
      <alignment vertical="center" wrapText="1"/>
    </xf>
    <xf numFmtId="178" fontId="6" fillId="0" borderId="11" xfId="0" applyNumberFormat="1" applyFont="1" applyBorder="1" applyAlignment="1">
      <alignment horizontal="center" vertical="center" wrapText="1"/>
    </xf>
    <xf numFmtId="178" fontId="6" fillId="0" borderId="11" xfId="0" applyNumberFormat="1" applyFont="1" applyBorder="1" applyAlignment="1">
      <alignment horizontal="center" vertical="center"/>
    </xf>
    <xf numFmtId="43" fontId="6" fillId="0" borderId="11" xfId="0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left" vertical="center" wrapText="1"/>
    </xf>
    <xf numFmtId="178" fontId="6" fillId="5" borderId="1" xfId="0" applyNumberFormat="1" applyFont="1" applyFill="1" applyBorder="1" applyAlignment="1">
      <alignment horizontal="center" vertical="center" wrapText="1"/>
    </xf>
    <xf numFmtId="178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9" fontId="6" fillId="0" borderId="12" xfId="0" applyNumberFormat="1" applyFont="1" applyBorder="1" applyAlignment="1">
      <alignment horizontal="center" vertical="center"/>
    </xf>
    <xf numFmtId="178" fontId="13" fillId="0" borderId="12" xfId="0" applyNumberFormat="1" applyFont="1" applyBorder="1" applyAlignment="1">
      <alignment horizontal="center" vertical="center"/>
    </xf>
    <xf numFmtId="43" fontId="6" fillId="0" borderId="13" xfId="0" applyNumberFormat="1" applyFont="1" applyBorder="1" applyAlignment="1">
      <alignment horizontal="left" vertical="center" wrapText="1"/>
    </xf>
    <xf numFmtId="178" fontId="6" fillId="0" borderId="12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 wrapText="1"/>
    </xf>
    <xf numFmtId="179" fontId="6" fillId="0" borderId="9" xfId="0" applyNumberFormat="1" applyFont="1" applyBorder="1" applyAlignment="1">
      <alignment horizontal="center" vertical="center"/>
    </xf>
    <xf numFmtId="178" fontId="13" fillId="0" borderId="9" xfId="0" applyNumberFormat="1" applyFont="1" applyBorder="1" applyAlignment="1">
      <alignment horizontal="center" vertical="center"/>
    </xf>
    <xf numFmtId="43" fontId="6" fillId="0" borderId="9" xfId="0" applyNumberFormat="1" applyFont="1" applyBorder="1" applyAlignment="1">
      <alignment horizontal="left" vertical="center" wrapText="1"/>
    </xf>
    <xf numFmtId="178" fontId="13" fillId="0" borderId="15" xfId="0" applyNumberFormat="1" applyFont="1" applyBorder="1" applyAlignment="1">
      <alignment horizontal="center" vertical="center"/>
    </xf>
    <xf numFmtId="43" fontId="6" fillId="0" borderId="15" xfId="0" applyNumberFormat="1" applyFont="1" applyBorder="1" applyAlignment="1">
      <alignment horizontal="left" vertical="center" wrapText="1"/>
    </xf>
    <xf numFmtId="178" fontId="6" fillId="0" borderId="15" xfId="0" applyNumberFormat="1" applyFont="1" applyBorder="1" applyAlignment="1">
      <alignment horizontal="center" vertical="center"/>
    </xf>
    <xf numFmtId="178" fontId="6" fillId="0" borderId="15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178" fontId="6" fillId="5" borderId="13" xfId="0" applyNumberFormat="1" applyFont="1" applyFill="1" applyBorder="1" applyAlignment="1">
      <alignment vertical="center" wrapText="1"/>
    </xf>
    <xf numFmtId="178" fontId="6" fillId="5" borderId="12" xfId="0" applyNumberFormat="1" applyFont="1" applyFill="1" applyBorder="1" applyAlignment="1">
      <alignment horizontal="center" vertical="center" wrapText="1"/>
    </xf>
    <xf numFmtId="179" fontId="6" fillId="5" borderId="15" xfId="0" applyNumberFormat="1" applyFont="1" applyFill="1" applyBorder="1" applyAlignment="1">
      <alignment horizontal="center" vertical="center"/>
    </xf>
    <xf numFmtId="178" fontId="6" fillId="5" borderId="15" xfId="0" applyNumberFormat="1" applyFont="1" applyFill="1" applyBorder="1" applyAlignment="1">
      <alignment horizontal="center" vertical="center"/>
    </xf>
    <xf numFmtId="178" fontId="6" fillId="5" borderId="15" xfId="0" applyNumberFormat="1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178" fontId="9" fillId="0" borderId="16" xfId="0" applyNumberFormat="1" applyFont="1" applyBorder="1" applyAlignment="1">
      <alignment horizontal="center" vertical="center" wrapText="1"/>
    </xf>
    <xf numFmtId="178" fontId="9" fillId="0" borderId="16" xfId="0" applyNumberFormat="1" applyFont="1" applyBorder="1" applyAlignment="1">
      <alignment horizontal="center" vertical="center"/>
    </xf>
    <xf numFmtId="43" fontId="6" fillId="0" borderId="0" xfId="0" applyNumberFormat="1" applyFont="1" applyAlignment="1">
      <alignment horizontal="left" vertical="center"/>
    </xf>
    <xf numFmtId="0" fontId="6" fillId="0" borderId="0" xfId="0" applyFont="1" applyFill="1"/>
    <xf numFmtId="176" fontId="11" fillId="0" borderId="9" xfId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wrapText="1"/>
    </xf>
    <xf numFmtId="0" fontId="6" fillId="0" borderId="8" xfId="0" applyFont="1" applyBorder="1" applyAlignment="1">
      <alignment horizontal="center" vertical="center" wrapText="1"/>
    </xf>
    <xf numFmtId="178" fontId="14" fillId="0" borderId="9" xfId="0" applyNumberFormat="1" applyFont="1" applyBorder="1" applyAlignment="1">
      <alignment vertical="center" wrapText="1"/>
    </xf>
    <xf numFmtId="1" fontId="6" fillId="0" borderId="9" xfId="0" applyNumberFormat="1" applyFont="1" applyBorder="1" applyAlignment="1">
      <alignment horizontal="center" vertical="center" wrapText="1"/>
    </xf>
    <xf numFmtId="178" fontId="6" fillId="7" borderId="9" xfId="0" applyNumberFormat="1" applyFont="1" applyFill="1" applyBorder="1" applyAlignment="1">
      <alignment horizontal="center" vertical="center" wrapText="1"/>
    </xf>
    <xf numFmtId="178" fontId="6" fillId="7" borderId="9" xfId="0" applyNumberFormat="1" applyFont="1" applyFill="1" applyBorder="1" applyAlignment="1">
      <alignment vertical="center" wrapText="1"/>
    </xf>
    <xf numFmtId="43" fontId="6" fillId="7" borderId="9" xfId="0" applyNumberFormat="1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178" fontId="6" fillId="8" borderId="9" xfId="0" applyNumberFormat="1" applyFont="1" applyFill="1" applyBorder="1" applyAlignment="1">
      <alignment horizontal="center" vertical="center" wrapText="1"/>
    </xf>
    <xf numFmtId="178" fontId="6" fillId="8" borderId="9" xfId="0" applyNumberFormat="1" applyFont="1" applyFill="1" applyBorder="1" applyAlignment="1">
      <alignment vertical="center" wrapText="1"/>
    </xf>
    <xf numFmtId="43" fontId="6" fillId="8" borderId="9" xfId="0" applyNumberFormat="1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43" fontId="6" fillId="0" borderId="11" xfId="0" applyNumberFormat="1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178" fontId="15" fillId="0" borderId="18" xfId="0" applyNumberFormat="1" applyFont="1" applyBorder="1" applyAlignment="1">
      <alignment horizontal="center" vertical="center" wrapText="1"/>
    </xf>
    <xf numFmtId="178" fontId="15" fillId="0" borderId="18" xfId="0" applyNumberFormat="1" applyFont="1" applyBorder="1" applyAlignment="1">
      <alignment vertical="center" wrapText="1"/>
    </xf>
    <xf numFmtId="178" fontId="15" fillId="0" borderId="4" xfId="0" applyNumberFormat="1" applyFont="1" applyBorder="1" applyAlignment="1">
      <alignment horizontal="center" vertical="center" wrapText="1"/>
    </xf>
    <xf numFmtId="43" fontId="15" fillId="0" borderId="18" xfId="0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43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43" fontId="6" fillId="0" borderId="9" xfId="0" applyNumberFormat="1" applyFont="1" applyBorder="1" applyAlignment="1" quotePrefix="1">
      <alignment horizontal="center" vertical="center" wrapText="1"/>
    </xf>
    <xf numFmtId="43" fontId="6" fillId="7" borderId="9" xfId="0" applyNumberFormat="1" applyFont="1" applyFill="1" applyBorder="1" applyAlignment="1" quotePrefix="1">
      <alignment horizontal="center" vertical="center" wrapText="1"/>
    </xf>
    <xf numFmtId="43" fontId="6" fillId="0" borderId="9" xfId="0" applyNumberFormat="1" applyFont="1" applyFill="1" applyBorder="1" applyAlignment="1" quotePrefix="1">
      <alignment horizontal="center" vertical="center" wrapText="1"/>
    </xf>
    <xf numFmtId="43" fontId="6" fillId="8" borderId="9" xfId="0" applyNumberFormat="1" applyFont="1" applyFill="1" applyBorder="1" applyAlignment="1" quotePrefix="1">
      <alignment horizontal="center" vertical="center" wrapText="1"/>
    </xf>
    <xf numFmtId="0" fontId="7" fillId="0" borderId="0" xfId="0" applyFont="1" applyAlignment="1" quotePrefix="1">
      <alignment wrapText="1"/>
    </xf>
    <xf numFmtId="43" fontId="6" fillId="0" borderId="9" xfId="0" applyNumberFormat="1" applyFont="1" applyBorder="1" applyAlignment="1" quotePrefix="1">
      <alignment horizontal="center" vertical="center"/>
    </xf>
    <xf numFmtId="0" fontId="6" fillId="0" borderId="9" xfId="0" applyFont="1" applyBorder="1" applyAlignment="1" quotePrefix="1">
      <alignment horizontal="center" vertical="center"/>
    </xf>
    <xf numFmtId="0" fontId="6" fillId="0" borderId="9" xfId="0" applyFont="1" applyBorder="1" applyAlignment="1" quotePrefix="1">
      <alignment horizontal="center" vertical="center" wrapText="1"/>
    </xf>
    <xf numFmtId="176" fontId="11" fillId="0" borderId="9" xfId="1" applyFont="1" applyFill="1" applyBorder="1" applyAlignment="1" quotePrefix="1">
      <alignment horizontal="center" vertical="center"/>
    </xf>
    <xf numFmtId="0" fontId="6" fillId="0" borderId="9" xfId="0" applyFont="1" applyBorder="1" applyAlignment="1" quotePrefix="1">
      <alignment horizontal="center" wrapText="1"/>
    </xf>
    <xf numFmtId="0" fontId="6" fillId="0" borderId="1" xfId="0" applyFont="1" applyBorder="1" applyAlignment="1" quotePrefix="1">
      <alignment horizontal="center" vertical="center"/>
    </xf>
    <xf numFmtId="0" fontId="6" fillId="5" borderId="1" xfId="0" applyFont="1" applyFill="1" applyBorder="1" applyAlignment="1" quotePrefix="1">
      <alignment horizontal="center" vertical="center"/>
    </xf>
    <xf numFmtId="43" fontId="6" fillId="0" borderId="1" xfId="0" applyNumberFormat="1" applyFont="1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 wrapText="1"/>
    </xf>
    <xf numFmtId="0" fontId="6" fillId="0" borderId="12" xfId="0" applyFont="1" applyBorder="1" applyAlignment="1" quotePrefix="1">
      <alignment horizontal="center" vertical="center"/>
    </xf>
    <xf numFmtId="0" fontId="6" fillId="0" borderId="15" xfId="0" applyFont="1" applyBorder="1" applyAlignment="1" quotePrefix="1">
      <alignment horizontal="center" vertical="center"/>
    </xf>
    <xf numFmtId="0" fontId="6" fillId="5" borderId="15" xfId="0" applyFont="1" applyFill="1" applyBorder="1" applyAlignment="1" quotePrefix="1">
      <alignment horizontal="center" vertical="center"/>
    </xf>
    <xf numFmtId="43" fontId="6" fillId="0" borderId="9" xfId="0" applyNumberFormat="1" applyFont="1" applyFill="1" applyBorder="1" applyAlignment="1" quotePrefix="1">
      <alignment horizontal="center" vertical="center"/>
    </xf>
    <xf numFmtId="43" fontId="11" fillId="0" borderId="9" xfId="0" applyNumberFormat="1" applyFont="1" applyBorder="1" applyAlignment="1" quotePrefix="1">
      <alignment horizontal="center" vertical="center"/>
    </xf>
    <xf numFmtId="0" fontId="6" fillId="0" borderId="9" xfId="0" applyFont="1" applyFill="1" applyBorder="1" applyAlignment="1" quotePrefix="1">
      <alignment horizontal="center" vertical="center" wrapText="1"/>
    </xf>
    <xf numFmtId="0" fontId="6" fillId="4" borderId="9" xfId="0" applyFont="1" applyFill="1" applyBorder="1" applyAlignment="1" quotePrefix="1">
      <alignment horizontal="center" vertical="center" wrapText="1"/>
    </xf>
    <xf numFmtId="1" fontId="4" fillId="0" borderId="0" xfId="0" applyNumberFormat="1" applyFont="1" applyAlignment="1" quotePrefix="1">
      <alignment horizontal="left" wrapText="1"/>
    </xf>
    <xf numFmtId="0" fontId="4" fillId="0" borderId="0" xfId="0" applyFont="1" applyAlignment="1" quotePrefix="1">
      <alignment horizontal="left" wrapText="1"/>
    </xf>
    <xf numFmtId="43" fontId="2" fillId="0" borderId="0" xfId="0" applyNumberFormat="1" applyFont="1" applyAlignment="1" quotePrefix="1">
      <alignment horizontal="center" vertical="center"/>
    </xf>
    <xf numFmtId="43" fontId="4" fillId="0" borderId="0" xfId="0" applyNumberFormat="1" applyFont="1" applyAlignment="1" quotePrefix="1">
      <alignment horizontal="center" vertical="center"/>
    </xf>
    <xf numFmtId="0" fontId="4" fillId="0" borderId="0" xfId="0" applyFont="1" applyAlignment="1" quotePrefix="1">
      <alignment horizontal="center" vertical="center"/>
    </xf>
    <xf numFmtId="43" fontId="2" fillId="0" borderId="1" xfId="0" applyNumberFormat="1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C115"/>
  <sheetViews>
    <sheetView zoomScale="60" zoomScaleNormal="60" topLeftCell="A33" workbookViewId="0">
      <selection activeCell="AI47" sqref="AI47"/>
    </sheetView>
  </sheetViews>
  <sheetFormatPr defaultColWidth="14.4272727272727" defaultRowHeight="15" customHeight="1"/>
  <cols>
    <col min="1" max="1" width="5.57272727272727" style="149" customWidth="1"/>
    <col min="2" max="2" width="24.5727272727273" style="41" customWidth="1"/>
    <col min="3" max="3" width="24.8181818181818" style="41" customWidth="1"/>
    <col min="4" max="4" width="10.8545454545455" style="41" customWidth="1"/>
    <col min="5" max="5" width="12" style="41" customWidth="1"/>
    <col min="6" max="6" width="10.5727272727273" style="41" hidden="1" customWidth="1"/>
    <col min="7" max="7" width="9.57272727272727" style="41" hidden="1" customWidth="1"/>
    <col min="8" max="8" width="10.5727272727273" style="41" hidden="1" customWidth="1"/>
    <col min="9" max="9" width="8.57272727272727" style="41" customWidth="1"/>
    <col min="10" max="10" width="10.5727272727273" style="41" hidden="1" customWidth="1"/>
    <col min="11" max="11" width="10" style="41" hidden="1" customWidth="1"/>
    <col min="12" max="12" width="8.57272727272727" style="41" hidden="1" customWidth="1"/>
    <col min="13" max="13" width="8.42727272727273" style="41" customWidth="1"/>
    <col min="14" max="14" width="8.57272727272727" style="41" hidden="1" customWidth="1"/>
    <col min="15" max="15" width="0.136363636363636" style="41" customWidth="1"/>
    <col min="16" max="16" width="11.4272727272727" style="41" customWidth="1"/>
    <col min="17" max="17" width="9.57272727272727" style="41" hidden="1" customWidth="1"/>
    <col min="18" max="18" width="9" style="41" hidden="1" customWidth="1"/>
    <col min="19" max="19" width="4.42727272727273" style="41" hidden="1" customWidth="1"/>
    <col min="20" max="20" width="8" style="41" customWidth="1"/>
    <col min="21" max="21" width="9.85454545454546" style="41" hidden="1" customWidth="1"/>
    <col min="22" max="22" width="7.85454545454545" style="41" hidden="1" customWidth="1"/>
    <col min="23" max="23" width="8.13636363636364" style="41" hidden="1" customWidth="1"/>
    <col min="24" max="24" width="10.5727272727273" style="41" hidden="1" customWidth="1"/>
    <col min="25" max="25" width="10.5727272727273" style="41" customWidth="1"/>
    <col min="26" max="26" width="10.4272727272727" style="41" customWidth="1"/>
    <col min="27" max="27" width="16.2818181818182" style="41" customWidth="1"/>
    <col min="28" max="28" width="14.7090909090909" style="41" customWidth="1"/>
    <col min="29" max="29" width="19.5454545454545" style="150" customWidth="1"/>
    <col min="30" max="30" width="12.1363636363636" style="41" customWidth="1"/>
    <col min="31" max="31" width="17.5727272727273" style="41" customWidth="1"/>
    <col min="32" max="54" width="12.1363636363636" style="41" customWidth="1"/>
    <col min="55" max="16384" width="14.4272727272727" style="41"/>
  </cols>
  <sheetData>
    <row r="1" ht="14.5" spans="1:29">
      <c r="A1" s="151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3"/>
    </row>
    <row r="2" ht="14.5" spans="1:29">
      <c r="A2" s="154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6"/>
    </row>
    <row r="3" s="147" customFormat="1" ht="27.75" customHeight="1" spans="1:29">
      <c r="A3" s="50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50" t="s">
        <v>7</v>
      </c>
      <c r="G3" s="50" t="s">
        <v>8</v>
      </c>
      <c r="H3" s="50" t="s">
        <v>9</v>
      </c>
      <c r="I3" s="51" t="s">
        <v>10</v>
      </c>
      <c r="J3" s="50" t="s">
        <v>11</v>
      </c>
      <c r="K3" s="50" t="s">
        <v>12</v>
      </c>
      <c r="L3" s="50" t="s">
        <v>13</v>
      </c>
      <c r="M3" s="50" t="s">
        <v>14</v>
      </c>
      <c r="N3" s="50" t="s">
        <v>15</v>
      </c>
      <c r="O3" s="50" t="s">
        <v>16</v>
      </c>
      <c r="P3" s="50" t="s">
        <v>17</v>
      </c>
      <c r="Q3" s="50" t="s">
        <v>18</v>
      </c>
      <c r="R3" s="50" t="s">
        <v>19</v>
      </c>
      <c r="S3" s="50" t="s">
        <v>20</v>
      </c>
      <c r="T3" s="50" t="s">
        <v>21</v>
      </c>
      <c r="U3" s="50" t="s">
        <v>22</v>
      </c>
      <c r="V3" s="50" t="s">
        <v>23</v>
      </c>
      <c r="W3" s="50" t="s">
        <v>24</v>
      </c>
      <c r="X3" s="50" t="s">
        <v>25</v>
      </c>
      <c r="Y3" s="50" t="s">
        <v>26</v>
      </c>
      <c r="Z3" s="50" t="s">
        <v>27</v>
      </c>
      <c r="AA3" s="51" t="s">
        <v>28</v>
      </c>
      <c r="AB3" s="51" t="s">
        <v>29</v>
      </c>
      <c r="AC3" s="95"/>
    </row>
    <row r="4" ht="14.5" spans="1:29">
      <c r="A4" s="54"/>
      <c r="B4" s="102" t="s">
        <v>30</v>
      </c>
      <c r="C4" s="54"/>
      <c r="D4" s="54"/>
      <c r="E4" s="54"/>
      <c r="F4" s="54"/>
      <c r="G4" s="54"/>
      <c r="H4" s="54"/>
      <c r="I4" s="65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65"/>
      <c r="AB4" s="72"/>
    </row>
    <row r="5" ht="14.5" spans="1:29">
      <c r="A5" s="54"/>
      <c r="B5" s="102" t="s">
        <v>31</v>
      </c>
      <c r="C5" s="81"/>
      <c r="D5" s="81"/>
      <c r="E5" s="81"/>
      <c r="F5" s="81"/>
      <c r="G5" s="81"/>
      <c r="H5" s="81"/>
      <c r="I5" s="51">
        <v>31</v>
      </c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65"/>
      <c r="AB5" s="72"/>
    </row>
    <row r="6" ht="20.25" customHeight="1" spans="1:29">
      <c r="A6" s="54">
        <v>1</v>
      </c>
      <c r="B6" s="64" t="s">
        <v>32</v>
      </c>
      <c r="C6" s="54" t="s">
        <v>33</v>
      </c>
      <c r="D6" s="54">
        <v>16000</v>
      </c>
      <c r="E6" s="54">
        <f>(Security!$D6)</f>
        <v>16000</v>
      </c>
      <c r="F6" s="54"/>
      <c r="G6" s="54"/>
      <c r="H6" s="54"/>
      <c r="I6" s="65">
        <v>31</v>
      </c>
      <c r="J6" s="54"/>
      <c r="K6" s="54"/>
      <c r="L6" s="54"/>
      <c r="M6" s="54"/>
      <c r="N6" s="54"/>
      <c r="O6" s="54"/>
      <c r="P6" s="54">
        <f>ROUNDUP(E6/$I$5*I6+M6,0)</f>
        <v>16000</v>
      </c>
      <c r="Q6" s="54"/>
      <c r="R6" s="54"/>
      <c r="S6" s="54"/>
      <c r="T6" s="54">
        <f>IF(P6,IF(1,30),IF(1,0))</f>
        <v>30</v>
      </c>
      <c r="U6" s="54">
        <v>0</v>
      </c>
      <c r="V6" s="54"/>
      <c r="W6" s="54"/>
      <c r="X6" s="54"/>
      <c r="Y6" s="54">
        <f t="shared" ref="Y6:Y7" si="0">Q6+R6+S6+T6+U6+V6+W6+X6</f>
        <v>30</v>
      </c>
      <c r="Z6" s="54">
        <f t="shared" ref="Z6:Z7" si="1">P6-Y6</f>
        <v>15970</v>
      </c>
      <c r="AA6" s="177" t="s">
        <v>34</v>
      </c>
      <c r="AB6" s="72" t="s">
        <v>35</v>
      </c>
    </row>
    <row r="7" ht="20.25" customHeight="1" spans="1:29">
      <c r="A7" s="54">
        <v>2</v>
      </c>
      <c r="B7" s="64" t="s">
        <v>36</v>
      </c>
      <c r="C7" s="54" t="s">
        <v>37</v>
      </c>
      <c r="D7" s="54">
        <v>15000</v>
      </c>
      <c r="E7" s="54">
        <v>15000</v>
      </c>
      <c r="F7" s="54"/>
      <c r="G7" s="54"/>
      <c r="H7" s="54"/>
      <c r="I7" s="65">
        <v>31</v>
      </c>
      <c r="J7" s="54"/>
      <c r="K7" s="54"/>
      <c r="L7" s="54"/>
      <c r="M7" s="54"/>
      <c r="N7" s="54"/>
      <c r="O7" s="54"/>
      <c r="P7" s="54">
        <f>ROUNDUP(E7/$I$5*I7+M7,0)</f>
        <v>15000</v>
      </c>
      <c r="Q7" s="54"/>
      <c r="R7" s="54"/>
      <c r="S7" s="54"/>
      <c r="T7" s="54">
        <f>IF(P7,IF(1,30),IF(1,0))</f>
        <v>30</v>
      </c>
      <c r="U7" s="54"/>
      <c r="V7" s="54"/>
      <c r="W7" s="54"/>
      <c r="X7" s="54"/>
      <c r="Y7" s="54">
        <f t="shared" si="0"/>
        <v>30</v>
      </c>
      <c r="Z7" s="54">
        <f t="shared" si="1"/>
        <v>14970</v>
      </c>
      <c r="AA7" s="177" t="s">
        <v>38</v>
      </c>
      <c r="AB7" s="72" t="s">
        <v>39</v>
      </c>
    </row>
    <row r="8" ht="20.25" customHeight="1" spans="1:29">
      <c r="A8" s="54">
        <v>3</v>
      </c>
      <c r="B8" s="64" t="s">
        <v>40</v>
      </c>
      <c r="C8" s="54" t="s">
        <v>37</v>
      </c>
      <c r="D8" s="54">
        <v>15000</v>
      </c>
      <c r="E8" s="54">
        <v>15000</v>
      </c>
      <c r="F8" s="54"/>
      <c r="G8" s="54"/>
      <c r="H8" s="54"/>
      <c r="I8" s="65">
        <v>31</v>
      </c>
      <c r="J8" s="54"/>
      <c r="K8" s="54"/>
      <c r="L8" s="54"/>
      <c r="M8" s="54"/>
      <c r="N8" s="54"/>
      <c r="O8" s="54"/>
      <c r="P8" s="54">
        <f>ROUNDUP(E8/$I$5*I8+M8,0)</f>
        <v>15000</v>
      </c>
      <c r="Q8" s="54"/>
      <c r="R8" s="54"/>
      <c r="S8" s="54"/>
      <c r="T8" s="54">
        <f t="shared" ref="T8:T9" si="2">IF(P8,IF(1,30),IF(1,0))</f>
        <v>30</v>
      </c>
      <c r="U8" s="54"/>
      <c r="V8" s="54"/>
      <c r="W8" s="54"/>
      <c r="X8" s="54"/>
      <c r="Y8" s="54">
        <f t="shared" ref="Y8:Y9" si="3">Q8+R8+S8+T8+U8+V8+W8+X8</f>
        <v>30</v>
      </c>
      <c r="Z8" s="54">
        <f t="shared" ref="Z8:Z9" si="4">P8-Y8</f>
        <v>14970</v>
      </c>
      <c r="AA8" s="177" t="s">
        <v>41</v>
      </c>
      <c r="AB8" s="72" t="s">
        <v>42</v>
      </c>
    </row>
    <row r="9" ht="20.25" customHeight="1" spans="1:29">
      <c r="A9" s="54">
        <v>4</v>
      </c>
      <c r="B9" s="64" t="s">
        <v>43</v>
      </c>
      <c r="C9" s="54" t="s">
        <v>44</v>
      </c>
      <c r="D9" s="54">
        <v>14000</v>
      </c>
      <c r="E9" s="54">
        <v>14000</v>
      </c>
      <c r="F9" s="54"/>
      <c r="G9" s="54"/>
      <c r="H9" s="54"/>
      <c r="I9" s="65">
        <v>29</v>
      </c>
      <c r="J9" s="54"/>
      <c r="K9" s="54"/>
      <c r="L9" s="54"/>
      <c r="M9" s="54"/>
      <c r="N9" s="54"/>
      <c r="O9" s="54"/>
      <c r="P9" s="54">
        <f>ROUNDUP(E9/$I$5*I9+M9,0)</f>
        <v>13097</v>
      </c>
      <c r="Q9" s="54"/>
      <c r="R9" s="54"/>
      <c r="S9" s="54"/>
      <c r="T9" s="54">
        <f t="shared" si="2"/>
        <v>30</v>
      </c>
      <c r="U9" s="54"/>
      <c r="V9" s="54"/>
      <c r="W9" s="54"/>
      <c r="X9" s="54"/>
      <c r="Y9" s="54">
        <f t="shared" si="3"/>
        <v>30</v>
      </c>
      <c r="Z9" s="54">
        <f t="shared" si="4"/>
        <v>13067</v>
      </c>
      <c r="AA9" s="177" t="s">
        <v>45</v>
      </c>
      <c r="AB9" s="72" t="s">
        <v>46</v>
      </c>
    </row>
    <row r="10" ht="20.25" customHeight="1" spans="1:29">
      <c r="A10" s="54">
        <v>5</v>
      </c>
      <c r="B10" s="157" t="s">
        <v>47</v>
      </c>
      <c r="C10" s="54" t="s">
        <v>44</v>
      </c>
      <c r="D10" s="54">
        <v>14000</v>
      </c>
      <c r="E10" s="54">
        <v>14000</v>
      </c>
      <c r="F10" s="54"/>
      <c r="G10" s="54"/>
      <c r="H10" s="54"/>
      <c r="I10" s="65">
        <v>31</v>
      </c>
      <c r="J10" s="54"/>
      <c r="K10" s="54"/>
      <c r="L10" s="54"/>
      <c r="M10" s="54"/>
      <c r="N10" s="54"/>
      <c r="O10" s="54"/>
      <c r="P10" s="54">
        <f t="shared" ref="P10:P46" si="5">ROUNDUP(E10/$I$5*I10+M10,0)</f>
        <v>14000</v>
      </c>
      <c r="Q10" s="54"/>
      <c r="R10" s="54"/>
      <c r="S10" s="54"/>
      <c r="T10" s="54">
        <f t="shared" ref="T10:T26" si="6">IF(P10,IF(1,30),IF(1,0))</f>
        <v>30</v>
      </c>
      <c r="U10" s="54"/>
      <c r="V10" s="54"/>
      <c r="W10" s="54"/>
      <c r="X10" s="54"/>
      <c r="Y10" s="54">
        <f t="shared" ref="Y10:Y26" si="7">Q10+R10+S10+T10+U10+V10+W10+X10</f>
        <v>30</v>
      </c>
      <c r="Z10" s="54">
        <f t="shared" ref="Z10:Z26" si="8">P10-Y10</f>
        <v>13970</v>
      </c>
      <c r="AA10" s="177" t="s">
        <v>48</v>
      </c>
      <c r="AB10" s="72" t="s">
        <v>35</v>
      </c>
    </row>
    <row r="11" ht="20.25" customHeight="1" spans="1:29">
      <c r="A11" s="54">
        <v>6</v>
      </c>
      <c r="B11" s="64" t="s">
        <v>49</v>
      </c>
      <c r="C11" s="54" t="s">
        <v>44</v>
      </c>
      <c r="D11" s="54">
        <v>14000</v>
      </c>
      <c r="E11" s="54">
        <v>14000</v>
      </c>
      <c r="F11" s="54"/>
      <c r="G11" s="54"/>
      <c r="H11" s="54"/>
      <c r="I11" s="65">
        <v>31</v>
      </c>
      <c r="J11" s="54"/>
      <c r="K11" s="54"/>
      <c r="L11" s="54"/>
      <c r="M11" s="54"/>
      <c r="N11" s="54"/>
      <c r="O11" s="54"/>
      <c r="P11" s="54">
        <f t="shared" si="5"/>
        <v>14000</v>
      </c>
      <c r="Q11" s="54"/>
      <c r="R11" s="54"/>
      <c r="S11" s="54"/>
      <c r="T11" s="54">
        <f t="shared" si="6"/>
        <v>30</v>
      </c>
      <c r="U11" s="54"/>
      <c r="V11" s="54"/>
      <c r="W11" s="54"/>
      <c r="X11" s="54"/>
      <c r="Y11" s="54">
        <f t="shared" si="7"/>
        <v>30</v>
      </c>
      <c r="Z11" s="54">
        <f t="shared" si="8"/>
        <v>13970</v>
      </c>
      <c r="AA11" s="177" t="s">
        <v>50</v>
      </c>
      <c r="AB11" s="72" t="s">
        <v>35</v>
      </c>
    </row>
    <row r="12" ht="20.25" customHeight="1" spans="1:29">
      <c r="A12" s="54">
        <v>7</v>
      </c>
      <c r="B12" s="64" t="s">
        <v>51</v>
      </c>
      <c r="C12" s="54" t="s">
        <v>44</v>
      </c>
      <c r="D12" s="54">
        <v>14000</v>
      </c>
      <c r="E12" s="54">
        <v>14000</v>
      </c>
      <c r="F12" s="54"/>
      <c r="G12" s="54"/>
      <c r="H12" s="54"/>
      <c r="I12" s="65">
        <v>30</v>
      </c>
      <c r="J12" s="54"/>
      <c r="K12" s="54"/>
      <c r="L12" s="54"/>
      <c r="M12" s="54"/>
      <c r="N12" s="54"/>
      <c r="O12" s="54"/>
      <c r="P12" s="54">
        <f t="shared" si="5"/>
        <v>13549</v>
      </c>
      <c r="Q12" s="54"/>
      <c r="R12" s="54"/>
      <c r="S12" s="54"/>
      <c r="T12" s="54">
        <f t="shared" si="6"/>
        <v>30</v>
      </c>
      <c r="U12" s="54"/>
      <c r="V12" s="54"/>
      <c r="W12" s="54"/>
      <c r="X12" s="54"/>
      <c r="Y12" s="54">
        <f t="shared" si="7"/>
        <v>30</v>
      </c>
      <c r="Z12" s="54">
        <f t="shared" si="8"/>
        <v>13519</v>
      </c>
      <c r="AA12" s="177" t="s">
        <v>52</v>
      </c>
      <c r="AB12" s="72" t="s">
        <v>35</v>
      </c>
    </row>
    <row r="13" ht="20.25" customHeight="1" spans="1:29">
      <c r="A13" s="54">
        <v>8</v>
      </c>
      <c r="B13" s="64" t="s">
        <v>53</v>
      </c>
      <c r="C13" s="54" t="s">
        <v>44</v>
      </c>
      <c r="D13" s="54">
        <v>14000</v>
      </c>
      <c r="E13" s="54">
        <v>14000</v>
      </c>
      <c r="F13" s="54"/>
      <c r="G13" s="54"/>
      <c r="H13" s="54"/>
      <c r="I13" s="65">
        <v>31</v>
      </c>
      <c r="J13" s="54"/>
      <c r="K13" s="54"/>
      <c r="L13" s="54"/>
      <c r="M13" s="54"/>
      <c r="N13" s="54"/>
      <c r="O13" s="54"/>
      <c r="P13" s="54">
        <f t="shared" si="5"/>
        <v>14000</v>
      </c>
      <c r="Q13" s="54"/>
      <c r="R13" s="54"/>
      <c r="S13" s="54"/>
      <c r="T13" s="54">
        <f t="shared" si="6"/>
        <v>30</v>
      </c>
      <c r="U13" s="54"/>
      <c r="V13" s="54"/>
      <c r="W13" s="54"/>
      <c r="X13" s="54"/>
      <c r="Y13" s="54">
        <f t="shared" si="7"/>
        <v>30</v>
      </c>
      <c r="Z13" s="54">
        <f t="shared" si="8"/>
        <v>13970</v>
      </c>
      <c r="AA13" s="177" t="s">
        <v>54</v>
      </c>
      <c r="AB13" s="72" t="s">
        <v>55</v>
      </c>
    </row>
    <row r="14" ht="20.25" customHeight="1" spans="1:29">
      <c r="A14" s="54">
        <v>9</v>
      </c>
      <c r="B14" s="64" t="s">
        <v>56</v>
      </c>
      <c r="C14" s="54" t="s">
        <v>44</v>
      </c>
      <c r="D14" s="54">
        <v>14000</v>
      </c>
      <c r="E14" s="54">
        <v>14000</v>
      </c>
      <c r="F14" s="54"/>
      <c r="G14" s="54"/>
      <c r="H14" s="54"/>
      <c r="I14" s="65">
        <v>30</v>
      </c>
      <c r="J14" s="54"/>
      <c r="K14" s="54"/>
      <c r="L14" s="54"/>
      <c r="M14" s="54"/>
      <c r="N14" s="54"/>
      <c r="O14" s="54"/>
      <c r="P14" s="54">
        <f t="shared" si="5"/>
        <v>13549</v>
      </c>
      <c r="Q14" s="54"/>
      <c r="R14" s="54"/>
      <c r="S14" s="54"/>
      <c r="T14" s="54">
        <f t="shared" si="6"/>
        <v>30</v>
      </c>
      <c r="U14" s="54"/>
      <c r="V14" s="54"/>
      <c r="W14" s="54"/>
      <c r="X14" s="54"/>
      <c r="Y14" s="54">
        <f t="shared" si="7"/>
        <v>30</v>
      </c>
      <c r="Z14" s="54">
        <f t="shared" si="8"/>
        <v>13519</v>
      </c>
      <c r="AA14" s="177" t="s">
        <v>57</v>
      </c>
      <c r="AB14" s="72" t="s">
        <v>58</v>
      </c>
    </row>
    <row r="15" ht="20.25" customHeight="1" spans="1:29">
      <c r="A15" s="54">
        <v>10</v>
      </c>
      <c r="B15" s="64" t="s">
        <v>59</v>
      </c>
      <c r="C15" s="54" t="s">
        <v>44</v>
      </c>
      <c r="D15" s="54">
        <v>14000</v>
      </c>
      <c r="E15" s="54">
        <v>14000</v>
      </c>
      <c r="F15" s="54"/>
      <c r="G15" s="54"/>
      <c r="H15" s="54"/>
      <c r="I15" s="65">
        <v>31</v>
      </c>
      <c r="J15" s="54"/>
      <c r="K15" s="54"/>
      <c r="L15" s="54"/>
      <c r="M15" s="54"/>
      <c r="N15" s="54"/>
      <c r="O15" s="54"/>
      <c r="P15" s="54">
        <f t="shared" si="5"/>
        <v>14000</v>
      </c>
      <c r="Q15" s="54"/>
      <c r="R15" s="54"/>
      <c r="S15" s="54"/>
      <c r="T15" s="54">
        <f t="shared" si="6"/>
        <v>30</v>
      </c>
      <c r="U15" s="54"/>
      <c r="V15" s="54"/>
      <c r="W15" s="54"/>
      <c r="X15" s="54"/>
      <c r="Y15" s="54">
        <f t="shared" si="7"/>
        <v>30</v>
      </c>
      <c r="Z15" s="54">
        <f t="shared" si="8"/>
        <v>13970</v>
      </c>
      <c r="AA15" s="177" t="s">
        <v>60</v>
      </c>
      <c r="AB15" s="72" t="s">
        <v>61</v>
      </c>
    </row>
    <row r="16" ht="20.25" customHeight="1" spans="1:29">
      <c r="A16" s="54">
        <v>11</v>
      </c>
      <c r="B16" s="64" t="s">
        <v>62</v>
      </c>
      <c r="C16" s="54" t="s">
        <v>44</v>
      </c>
      <c r="D16" s="54">
        <v>14000</v>
      </c>
      <c r="E16" s="54">
        <v>14000</v>
      </c>
      <c r="F16" s="54"/>
      <c r="G16" s="54"/>
      <c r="H16" s="54"/>
      <c r="I16" s="65">
        <v>29</v>
      </c>
      <c r="J16" s="54"/>
      <c r="K16" s="54"/>
      <c r="L16" s="54"/>
      <c r="M16" s="54"/>
      <c r="N16" s="54"/>
      <c r="O16" s="54"/>
      <c r="P16" s="54">
        <f t="shared" si="5"/>
        <v>13097</v>
      </c>
      <c r="Q16" s="54"/>
      <c r="R16" s="54"/>
      <c r="S16" s="54"/>
      <c r="T16" s="54">
        <f t="shared" si="6"/>
        <v>30</v>
      </c>
      <c r="U16" s="54"/>
      <c r="V16" s="54"/>
      <c r="W16" s="54"/>
      <c r="X16" s="54"/>
      <c r="Y16" s="54">
        <f t="shared" si="7"/>
        <v>30</v>
      </c>
      <c r="Z16" s="54">
        <f t="shared" si="8"/>
        <v>13067</v>
      </c>
      <c r="AA16" s="177" t="s">
        <v>63</v>
      </c>
      <c r="AB16" s="72" t="s">
        <v>64</v>
      </c>
    </row>
    <row r="17" ht="20.25" customHeight="1" spans="1:29">
      <c r="A17" s="54">
        <v>12</v>
      </c>
      <c r="B17" s="64" t="s">
        <v>65</v>
      </c>
      <c r="C17" s="54" t="s">
        <v>44</v>
      </c>
      <c r="D17" s="54">
        <v>14000</v>
      </c>
      <c r="E17" s="54">
        <v>14000</v>
      </c>
      <c r="F17" s="54"/>
      <c r="G17" s="54"/>
      <c r="H17" s="54"/>
      <c r="I17" s="65">
        <v>25</v>
      </c>
      <c r="J17" s="54"/>
      <c r="K17" s="54"/>
      <c r="L17" s="54"/>
      <c r="M17" s="54"/>
      <c r="N17" s="54"/>
      <c r="O17" s="54"/>
      <c r="P17" s="54">
        <f t="shared" si="5"/>
        <v>11291</v>
      </c>
      <c r="Q17" s="54"/>
      <c r="R17" s="54"/>
      <c r="S17" s="54"/>
      <c r="T17" s="54">
        <f t="shared" si="6"/>
        <v>30</v>
      </c>
      <c r="U17" s="54"/>
      <c r="V17" s="54"/>
      <c r="W17" s="54"/>
      <c r="X17" s="54"/>
      <c r="Y17" s="54">
        <f t="shared" si="7"/>
        <v>30</v>
      </c>
      <c r="Z17" s="54">
        <f t="shared" si="8"/>
        <v>11261</v>
      </c>
      <c r="AA17" s="177" t="s">
        <v>66</v>
      </c>
      <c r="AB17" s="72" t="s">
        <v>67</v>
      </c>
      <c r="AC17" s="150" t="s">
        <v>68</v>
      </c>
    </row>
    <row r="18" ht="20.25" customHeight="1" spans="1:29">
      <c r="A18" s="54">
        <v>13</v>
      </c>
      <c r="B18" s="64" t="s">
        <v>69</v>
      </c>
      <c r="C18" s="54" t="s">
        <v>44</v>
      </c>
      <c r="D18" s="54">
        <v>14000</v>
      </c>
      <c r="E18" s="54">
        <v>14000</v>
      </c>
      <c r="F18" s="54"/>
      <c r="G18" s="54"/>
      <c r="H18" s="54"/>
      <c r="I18" s="65">
        <v>29</v>
      </c>
      <c r="J18" s="54"/>
      <c r="K18" s="54"/>
      <c r="L18" s="54"/>
      <c r="M18" s="54"/>
      <c r="N18" s="54"/>
      <c r="O18" s="54"/>
      <c r="P18" s="54">
        <f t="shared" si="5"/>
        <v>13097</v>
      </c>
      <c r="Q18" s="54"/>
      <c r="R18" s="54"/>
      <c r="S18" s="54"/>
      <c r="T18" s="54">
        <f t="shared" si="6"/>
        <v>30</v>
      </c>
      <c r="U18" s="54"/>
      <c r="V18" s="54"/>
      <c r="W18" s="54"/>
      <c r="X18" s="54"/>
      <c r="Y18" s="54">
        <f t="shared" si="7"/>
        <v>30</v>
      </c>
      <c r="Z18" s="54">
        <f t="shared" si="8"/>
        <v>13067</v>
      </c>
      <c r="AA18" s="177" t="s">
        <v>70</v>
      </c>
      <c r="AB18" s="72" t="s">
        <v>58</v>
      </c>
    </row>
    <row r="19" ht="20.25" customHeight="1" spans="1:29">
      <c r="A19" s="54">
        <v>14</v>
      </c>
      <c r="B19" s="64" t="s">
        <v>71</v>
      </c>
      <c r="C19" s="54" t="s">
        <v>44</v>
      </c>
      <c r="D19" s="54">
        <v>14000</v>
      </c>
      <c r="E19" s="54">
        <v>14000</v>
      </c>
      <c r="F19" s="54"/>
      <c r="G19" s="54"/>
      <c r="H19" s="54"/>
      <c r="I19" s="65">
        <v>14</v>
      </c>
      <c r="J19" s="54"/>
      <c r="K19" s="54"/>
      <c r="L19" s="54"/>
      <c r="M19" s="54"/>
      <c r="N19" s="54"/>
      <c r="O19" s="54"/>
      <c r="P19" s="54">
        <f t="shared" si="5"/>
        <v>6323</v>
      </c>
      <c r="Q19" s="54"/>
      <c r="R19" s="54"/>
      <c r="S19" s="54"/>
      <c r="T19" s="54">
        <f t="shared" si="6"/>
        <v>30</v>
      </c>
      <c r="U19" s="54"/>
      <c r="V19" s="54"/>
      <c r="W19" s="54"/>
      <c r="X19" s="54"/>
      <c r="Y19" s="54">
        <f t="shared" si="7"/>
        <v>30</v>
      </c>
      <c r="Z19" s="54">
        <f t="shared" si="8"/>
        <v>6293</v>
      </c>
      <c r="AA19" s="177" t="s">
        <v>72</v>
      </c>
      <c r="AB19" s="72" t="s">
        <v>61</v>
      </c>
    </row>
    <row r="20" ht="20.25" customHeight="1" spans="1:29">
      <c r="A20" s="54">
        <v>15</v>
      </c>
      <c r="B20" s="64" t="s">
        <v>73</v>
      </c>
      <c r="C20" s="54" t="s">
        <v>44</v>
      </c>
      <c r="D20" s="54">
        <v>14000</v>
      </c>
      <c r="E20" s="54">
        <v>14000</v>
      </c>
      <c r="F20" s="54"/>
      <c r="G20" s="54"/>
      <c r="H20" s="54"/>
      <c r="I20" s="65">
        <v>31</v>
      </c>
      <c r="J20" s="54"/>
      <c r="K20" s="54"/>
      <c r="L20" s="54"/>
      <c r="M20" s="54"/>
      <c r="N20" s="54"/>
      <c r="O20" s="54"/>
      <c r="P20" s="54">
        <f t="shared" si="5"/>
        <v>14000</v>
      </c>
      <c r="Q20" s="54"/>
      <c r="R20" s="54"/>
      <c r="S20" s="54"/>
      <c r="T20" s="54">
        <f t="shared" si="6"/>
        <v>30</v>
      </c>
      <c r="U20" s="54"/>
      <c r="V20" s="54"/>
      <c r="W20" s="54"/>
      <c r="X20" s="54"/>
      <c r="Y20" s="54">
        <f t="shared" si="7"/>
        <v>30</v>
      </c>
      <c r="Z20" s="54">
        <f t="shared" si="8"/>
        <v>13970</v>
      </c>
      <c r="AA20" s="177" t="s">
        <v>74</v>
      </c>
      <c r="AB20" s="72" t="s">
        <v>75</v>
      </c>
    </row>
    <row r="21" ht="20.25" customHeight="1" spans="1:29">
      <c r="A21" s="54">
        <v>16</v>
      </c>
      <c r="B21" s="64" t="s">
        <v>76</v>
      </c>
      <c r="C21" s="54" t="s">
        <v>44</v>
      </c>
      <c r="D21" s="54">
        <v>14000</v>
      </c>
      <c r="E21" s="54">
        <v>14000</v>
      </c>
      <c r="F21" s="54"/>
      <c r="G21" s="54"/>
      <c r="H21" s="54"/>
      <c r="I21" s="65">
        <v>30</v>
      </c>
      <c r="J21" s="54"/>
      <c r="K21" s="54"/>
      <c r="L21" s="54"/>
      <c r="M21" s="54"/>
      <c r="N21" s="54"/>
      <c r="O21" s="54"/>
      <c r="P21" s="54">
        <f t="shared" si="5"/>
        <v>13549</v>
      </c>
      <c r="Q21" s="54"/>
      <c r="R21" s="54"/>
      <c r="S21" s="54"/>
      <c r="T21" s="54">
        <f t="shared" si="6"/>
        <v>30</v>
      </c>
      <c r="U21" s="54"/>
      <c r="V21" s="54"/>
      <c r="W21" s="54"/>
      <c r="X21" s="54"/>
      <c r="Y21" s="54">
        <f t="shared" si="7"/>
        <v>30</v>
      </c>
      <c r="Z21" s="54">
        <f t="shared" si="8"/>
        <v>13519</v>
      </c>
      <c r="AA21" s="177" t="s">
        <v>77</v>
      </c>
      <c r="AB21" s="72" t="s">
        <v>78</v>
      </c>
    </row>
    <row r="22" ht="20.25" customHeight="1" spans="1:29">
      <c r="A22" s="54">
        <v>17</v>
      </c>
      <c r="B22" s="64" t="s">
        <v>79</v>
      </c>
      <c r="C22" s="54" t="s">
        <v>44</v>
      </c>
      <c r="D22" s="54">
        <v>14000</v>
      </c>
      <c r="E22" s="54">
        <v>14000</v>
      </c>
      <c r="F22" s="54"/>
      <c r="G22" s="54"/>
      <c r="H22" s="54"/>
      <c r="I22" s="65">
        <v>31</v>
      </c>
      <c r="J22" s="54"/>
      <c r="K22" s="54"/>
      <c r="L22" s="54"/>
      <c r="M22" s="54"/>
      <c r="N22" s="54"/>
      <c r="O22" s="54"/>
      <c r="P22" s="54">
        <f t="shared" si="5"/>
        <v>14000</v>
      </c>
      <c r="Q22" s="54"/>
      <c r="R22" s="54"/>
      <c r="S22" s="54"/>
      <c r="T22" s="54">
        <f t="shared" si="6"/>
        <v>30</v>
      </c>
      <c r="U22" s="54"/>
      <c r="V22" s="54"/>
      <c r="W22" s="54"/>
      <c r="X22" s="54"/>
      <c r="Y22" s="54">
        <f t="shared" si="7"/>
        <v>30</v>
      </c>
      <c r="Z22" s="54">
        <f t="shared" si="8"/>
        <v>13970</v>
      </c>
      <c r="AA22" s="177" t="s">
        <v>80</v>
      </c>
      <c r="AB22" s="72" t="s">
        <v>81</v>
      </c>
    </row>
    <row r="23" ht="20.25" customHeight="1" spans="1:29">
      <c r="A23" s="54">
        <v>18</v>
      </c>
      <c r="B23" s="64" t="s">
        <v>82</v>
      </c>
      <c r="C23" s="54" t="s">
        <v>44</v>
      </c>
      <c r="D23" s="54">
        <v>14000</v>
      </c>
      <c r="E23" s="54">
        <v>14000</v>
      </c>
      <c r="F23" s="54"/>
      <c r="G23" s="54"/>
      <c r="H23" s="54"/>
      <c r="I23" s="65">
        <v>17</v>
      </c>
      <c r="J23" s="54"/>
      <c r="K23" s="54"/>
      <c r="L23" s="54"/>
      <c r="M23" s="54"/>
      <c r="N23" s="54"/>
      <c r="O23" s="54"/>
      <c r="P23" s="54">
        <f t="shared" si="5"/>
        <v>7678</v>
      </c>
      <c r="Q23" s="54"/>
      <c r="R23" s="54"/>
      <c r="S23" s="54"/>
      <c r="T23" s="54">
        <f t="shared" si="6"/>
        <v>30</v>
      </c>
      <c r="U23" s="54"/>
      <c r="V23" s="54"/>
      <c r="W23" s="54"/>
      <c r="X23" s="54"/>
      <c r="Y23" s="54">
        <f t="shared" si="7"/>
        <v>30</v>
      </c>
      <c r="Z23" s="54">
        <f t="shared" si="8"/>
        <v>7648</v>
      </c>
      <c r="AA23" s="177" t="s">
        <v>83</v>
      </c>
      <c r="AB23" s="72" t="s">
        <v>58</v>
      </c>
      <c r="AC23" s="150" t="s">
        <v>84</v>
      </c>
    </row>
    <row r="24" ht="20.25" customHeight="1" spans="1:29">
      <c r="A24" s="54">
        <v>19</v>
      </c>
      <c r="B24" s="64" t="s">
        <v>85</v>
      </c>
      <c r="C24" s="54" t="s">
        <v>44</v>
      </c>
      <c r="D24" s="54">
        <v>14000</v>
      </c>
      <c r="E24" s="54">
        <v>14000</v>
      </c>
      <c r="F24" s="54"/>
      <c r="G24" s="54"/>
      <c r="H24" s="54"/>
      <c r="I24" s="65">
        <v>31</v>
      </c>
      <c r="J24" s="54"/>
      <c r="K24" s="54"/>
      <c r="L24" s="54"/>
      <c r="M24" s="54"/>
      <c r="N24" s="54"/>
      <c r="O24" s="54"/>
      <c r="P24" s="54">
        <f t="shared" si="5"/>
        <v>14000</v>
      </c>
      <c r="Q24" s="54"/>
      <c r="R24" s="54"/>
      <c r="S24" s="54"/>
      <c r="T24" s="54">
        <f t="shared" si="6"/>
        <v>30</v>
      </c>
      <c r="U24" s="54"/>
      <c r="V24" s="54"/>
      <c r="W24" s="54"/>
      <c r="X24" s="54"/>
      <c r="Y24" s="54">
        <f t="shared" si="7"/>
        <v>30</v>
      </c>
      <c r="Z24" s="54">
        <f t="shared" si="8"/>
        <v>13970</v>
      </c>
      <c r="AA24" s="177" t="s">
        <v>86</v>
      </c>
      <c r="AB24" s="72" t="s">
        <v>87</v>
      </c>
    </row>
    <row r="25" ht="20.25" customHeight="1" spans="1:29">
      <c r="A25" s="54">
        <v>20</v>
      </c>
      <c r="B25" s="64" t="s">
        <v>88</v>
      </c>
      <c r="C25" s="54" t="s">
        <v>44</v>
      </c>
      <c r="D25" s="54">
        <v>14000</v>
      </c>
      <c r="E25" s="54">
        <v>14000</v>
      </c>
      <c r="F25" s="54"/>
      <c r="G25" s="54"/>
      <c r="H25" s="54"/>
      <c r="I25" s="65">
        <v>27</v>
      </c>
      <c r="J25" s="54"/>
      <c r="K25" s="54"/>
      <c r="L25" s="54"/>
      <c r="M25" s="54"/>
      <c r="N25" s="54"/>
      <c r="O25" s="54"/>
      <c r="P25" s="54">
        <f t="shared" si="5"/>
        <v>12194</v>
      </c>
      <c r="Q25" s="54"/>
      <c r="R25" s="54"/>
      <c r="S25" s="54"/>
      <c r="T25" s="54">
        <f t="shared" si="6"/>
        <v>30</v>
      </c>
      <c r="U25" s="54"/>
      <c r="V25" s="54"/>
      <c r="W25" s="54"/>
      <c r="X25" s="54"/>
      <c r="Y25" s="54">
        <f t="shared" si="7"/>
        <v>30</v>
      </c>
      <c r="Z25" s="54">
        <f t="shared" si="8"/>
        <v>12164</v>
      </c>
      <c r="AA25" s="177" t="s">
        <v>89</v>
      </c>
      <c r="AB25" s="72" t="s">
        <v>64</v>
      </c>
    </row>
    <row r="26" ht="20.25" customHeight="1" spans="1:29">
      <c r="A26" s="54">
        <v>21</v>
      </c>
      <c r="B26" s="64" t="s">
        <v>90</v>
      </c>
      <c r="C26" s="54" t="s">
        <v>44</v>
      </c>
      <c r="D26" s="54">
        <v>14000</v>
      </c>
      <c r="E26" s="54">
        <v>14000</v>
      </c>
      <c r="F26" s="54"/>
      <c r="G26" s="54"/>
      <c r="H26" s="54"/>
      <c r="I26" s="65">
        <v>11</v>
      </c>
      <c r="J26" s="54"/>
      <c r="K26" s="54"/>
      <c r="L26" s="54"/>
      <c r="M26" s="54"/>
      <c r="N26" s="54"/>
      <c r="O26" s="54"/>
      <c r="P26" s="54">
        <f t="shared" si="5"/>
        <v>4968</v>
      </c>
      <c r="Q26" s="54"/>
      <c r="R26" s="54"/>
      <c r="S26" s="54"/>
      <c r="T26" s="54">
        <f t="shared" si="6"/>
        <v>30</v>
      </c>
      <c r="U26" s="54"/>
      <c r="V26" s="54"/>
      <c r="W26" s="54"/>
      <c r="X26" s="54"/>
      <c r="Y26" s="54">
        <f t="shared" si="7"/>
        <v>30</v>
      </c>
      <c r="Z26" s="54">
        <f t="shared" si="8"/>
        <v>4938</v>
      </c>
      <c r="AA26" s="177" t="s">
        <v>91</v>
      </c>
      <c r="AB26" s="72" t="s">
        <v>92</v>
      </c>
      <c r="AC26" s="41"/>
    </row>
    <row r="27" ht="20.25" customHeight="1" spans="1:29">
      <c r="A27" s="54">
        <v>22</v>
      </c>
      <c r="B27" s="64" t="s">
        <v>93</v>
      </c>
      <c r="C27" s="54" t="s">
        <v>44</v>
      </c>
      <c r="D27" s="54">
        <v>14000</v>
      </c>
      <c r="E27" s="54">
        <v>14000</v>
      </c>
      <c r="F27" s="54"/>
      <c r="G27" s="54"/>
      <c r="H27" s="54"/>
      <c r="I27" s="65">
        <v>25</v>
      </c>
      <c r="J27" s="54"/>
      <c r="K27" s="54"/>
      <c r="L27" s="54"/>
      <c r="M27" s="54"/>
      <c r="N27" s="54"/>
      <c r="O27" s="54"/>
      <c r="P27" s="54">
        <f t="shared" si="5"/>
        <v>11291</v>
      </c>
      <c r="Q27" s="54"/>
      <c r="R27" s="54"/>
      <c r="S27" s="54"/>
      <c r="T27" s="54">
        <f t="shared" ref="T27" si="9">IF(P27,IF(1,30),IF(1,0))</f>
        <v>30</v>
      </c>
      <c r="U27" s="54"/>
      <c r="V27" s="54"/>
      <c r="W27" s="54"/>
      <c r="X27" s="54"/>
      <c r="Y27" s="54">
        <f t="shared" ref="Y27" si="10">Q27+R27+S27+T27+U27+V27+W27+X27</f>
        <v>30</v>
      </c>
      <c r="Z27" s="54">
        <f t="shared" ref="Z27" si="11">P27-Y27</f>
        <v>11261</v>
      </c>
      <c r="AA27" s="177" t="s">
        <v>94</v>
      </c>
      <c r="AB27" s="72" t="s">
        <v>64</v>
      </c>
    </row>
    <row r="28" ht="20.25" customHeight="1" spans="1:29">
      <c r="A28" s="54">
        <v>23</v>
      </c>
      <c r="B28" s="64" t="s">
        <v>95</v>
      </c>
      <c r="C28" s="54" t="s">
        <v>96</v>
      </c>
      <c r="D28" s="54">
        <v>12000</v>
      </c>
      <c r="E28" s="54">
        <v>12000</v>
      </c>
      <c r="F28" s="54"/>
      <c r="G28" s="54"/>
      <c r="H28" s="54"/>
      <c r="I28" s="65">
        <v>29</v>
      </c>
      <c r="J28" s="54"/>
      <c r="K28" s="54"/>
      <c r="L28" s="54"/>
      <c r="M28" s="54"/>
      <c r="N28" s="54"/>
      <c r="O28" s="54"/>
      <c r="P28" s="54">
        <f t="shared" si="5"/>
        <v>11226</v>
      </c>
      <c r="Q28" s="54"/>
      <c r="R28" s="54"/>
      <c r="S28" s="54"/>
      <c r="T28" s="54">
        <f t="shared" ref="T28:T34" si="12">IF(P28,IF(1,30),IF(1,0))</f>
        <v>30</v>
      </c>
      <c r="U28" s="54"/>
      <c r="V28" s="54"/>
      <c r="W28" s="54"/>
      <c r="X28" s="54"/>
      <c r="Y28" s="54">
        <f t="shared" ref="Y28:Y34" si="13">Q28+R28+S28+T28+U28+V28+W28+X28</f>
        <v>30</v>
      </c>
      <c r="Z28" s="54">
        <f t="shared" ref="Z28:Z34" si="14">P28-Y28</f>
        <v>11196</v>
      </c>
      <c r="AA28" s="177" t="s">
        <v>97</v>
      </c>
      <c r="AB28" s="72" t="s">
        <v>67</v>
      </c>
    </row>
    <row r="29" ht="20.25" customHeight="1" spans="1:29">
      <c r="A29" s="54">
        <v>24</v>
      </c>
      <c r="B29" s="64" t="s">
        <v>98</v>
      </c>
      <c r="C29" s="54" t="s">
        <v>96</v>
      </c>
      <c r="D29" s="54">
        <v>12000</v>
      </c>
      <c r="E29" s="54">
        <v>12000</v>
      </c>
      <c r="F29" s="54"/>
      <c r="G29" s="54"/>
      <c r="H29" s="54"/>
      <c r="I29" s="65">
        <v>29</v>
      </c>
      <c r="J29" s="54"/>
      <c r="K29" s="54"/>
      <c r="L29" s="54"/>
      <c r="M29" s="54"/>
      <c r="N29" s="54"/>
      <c r="O29" s="54"/>
      <c r="P29" s="54">
        <f t="shared" si="5"/>
        <v>11226</v>
      </c>
      <c r="Q29" s="54"/>
      <c r="R29" s="54"/>
      <c r="S29" s="54"/>
      <c r="T29" s="54">
        <f t="shared" si="12"/>
        <v>30</v>
      </c>
      <c r="U29" s="54"/>
      <c r="V29" s="54"/>
      <c r="W29" s="54"/>
      <c r="X29" s="54"/>
      <c r="Y29" s="54">
        <f t="shared" si="13"/>
        <v>30</v>
      </c>
      <c r="Z29" s="54">
        <f t="shared" si="14"/>
        <v>11196</v>
      </c>
      <c r="AA29" s="177" t="s">
        <v>99</v>
      </c>
      <c r="AB29" s="72" t="s">
        <v>67</v>
      </c>
    </row>
    <row r="30" ht="20.25" customHeight="1" spans="1:29">
      <c r="A30" s="54">
        <v>25</v>
      </c>
      <c r="B30" s="64" t="s">
        <v>100</v>
      </c>
      <c r="C30" s="54" t="s">
        <v>96</v>
      </c>
      <c r="D30" s="54">
        <v>12000</v>
      </c>
      <c r="E30" s="54">
        <v>12000</v>
      </c>
      <c r="F30" s="54"/>
      <c r="G30" s="54"/>
      <c r="H30" s="54"/>
      <c r="I30" s="65">
        <v>27</v>
      </c>
      <c r="J30" s="54"/>
      <c r="K30" s="54"/>
      <c r="L30" s="54"/>
      <c r="M30" s="54"/>
      <c r="N30" s="54"/>
      <c r="O30" s="54"/>
      <c r="P30" s="54">
        <f t="shared" si="5"/>
        <v>10452</v>
      </c>
      <c r="Q30" s="54"/>
      <c r="R30" s="54"/>
      <c r="S30" s="54"/>
      <c r="T30" s="54">
        <f t="shared" si="12"/>
        <v>30</v>
      </c>
      <c r="U30" s="54"/>
      <c r="V30" s="54"/>
      <c r="W30" s="54"/>
      <c r="X30" s="54"/>
      <c r="Y30" s="54">
        <f t="shared" si="13"/>
        <v>30</v>
      </c>
      <c r="Z30" s="54">
        <f t="shared" si="14"/>
        <v>10422</v>
      </c>
      <c r="AA30" s="177" t="s">
        <v>101</v>
      </c>
      <c r="AB30" s="72" t="s">
        <v>102</v>
      </c>
    </row>
    <row r="31" ht="20.25" customHeight="1" spans="1:29">
      <c r="A31" s="54">
        <v>26</v>
      </c>
      <c r="B31" s="64" t="s">
        <v>103</v>
      </c>
      <c r="C31" s="54" t="s">
        <v>44</v>
      </c>
      <c r="D31" s="54">
        <v>14000</v>
      </c>
      <c r="E31" s="54">
        <v>14000</v>
      </c>
      <c r="F31" s="54"/>
      <c r="G31" s="54"/>
      <c r="H31" s="54"/>
      <c r="I31" s="65">
        <v>31</v>
      </c>
      <c r="J31" s="54"/>
      <c r="K31" s="54"/>
      <c r="L31" s="54"/>
      <c r="M31" s="54"/>
      <c r="N31" s="54"/>
      <c r="O31" s="54"/>
      <c r="P31" s="54">
        <f t="shared" si="5"/>
        <v>14000</v>
      </c>
      <c r="Q31" s="54"/>
      <c r="R31" s="54"/>
      <c r="S31" s="54"/>
      <c r="T31" s="54">
        <f t="shared" si="12"/>
        <v>30</v>
      </c>
      <c r="U31" s="54"/>
      <c r="V31" s="54"/>
      <c r="W31" s="54"/>
      <c r="X31" s="54"/>
      <c r="Y31" s="54">
        <f t="shared" si="13"/>
        <v>30</v>
      </c>
      <c r="Z31" s="54">
        <f t="shared" si="14"/>
        <v>13970</v>
      </c>
      <c r="AA31" s="158">
        <v>108210100029701</v>
      </c>
      <c r="AB31" s="72" t="s">
        <v>46</v>
      </c>
    </row>
    <row r="32" ht="20.25" customHeight="1" spans="1:29">
      <c r="A32" s="54">
        <v>27</v>
      </c>
      <c r="B32" s="64" t="s">
        <v>104</v>
      </c>
      <c r="C32" s="54" t="s">
        <v>105</v>
      </c>
      <c r="D32" s="54">
        <v>12000</v>
      </c>
      <c r="E32" s="54">
        <v>12000</v>
      </c>
      <c r="F32" s="54"/>
      <c r="G32" s="54"/>
      <c r="H32" s="54"/>
      <c r="I32" s="65">
        <v>29</v>
      </c>
      <c r="J32" s="54"/>
      <c r="K32" s="54"/>
      <c r="L32" s="54"/>
      <c r="M32" s="54"/>
      <c r="N32" s="54"/>
      <c r="O32" s="54"/>
      <c r="P32" s="54">
        <f t="shared" si="5"/>
        <v>11226</v>
      </c>
      <c r="Q32" s="54"/>
      <c r="R32" s="54"/>
      <c r="S32" s="54"/>
      <c r="T32" s="54">
        <f t="shared" ref="T32" si="15">IF(P32,IF(1,30),IF(1,0))</f>
        <v>30</v>
      </c>
      <c r="U32" s="54"/>
      <c r="V32" s="54"/>
      <c r="W32" s="54"/>
      <c r="X32" s="54"/>
      <c r="Y32" s="54">
        <f t="shared" ref="Y32" si="16">Q32+R32+S32+T32+U32+V32+W32+X32</f>
        <v>30</v>
      </c>
      <c r="Z32" s="54">
        <f t="shared" ref="Z32" si="17">P32-Y32</f>
        <v>11196</v>
      </c>
      <c r="AA32" s="158">
        <v>920010057498656</v>
      </c>
      <c r="AB32" s="72" t="s">
        <v>106</v>
      </c>
    </row>
    <row r="33" ht="20.25" customHeight="1" spans="1:29">
      <c r="A33" s="159">
        <v>28</v>
      </c>
      <c r="B33" s="160" t="s">
        <v>107</v>
      </c>
      <c r="C33" s="159" t="s">
        <v>44</v>
      </c>
      <c r="D33" s="159">
        <v>11000</v>
      </c>
      <c r="E33" s="159">
        <v>11000</v>
      </c>
      <c r="F33" s="159"/>
      <c r="G33" s="159"/>
      <c r="H33" s="159"/>
      <c r="I33" s="161">
        <v>31</v>
      </c>
      <c r="J33" s="159"/>
      <c r="K33" s="159"/>
      <c r="L33" s="159"/>
      <c r="M33" s="159">
        <v>-3000</v>
      </c>
      <c r="N33" s="159"/>
      <c r="O33" s="159"/>
      <c r="P33" s="159">
        <f t="shared" si="5"/>
        <v>8000</v>
      </c>
      <c r="Q33" s="159"/>
      <c r="R33" s="159"/>
      <c r="S33" s="159"/>
      <c r="T33" s="159">
        <f t="shared" si="12"/>
        <v>30</v>
      </c>
      <c r="U33" s="159"/>
      <c r="V33" s="159"/>
      <c r="W33" s="159"/>
      <c r="X33" s="159"/>
      <c r="Y33" s="159">
        <f t="shared" si="13"/>
        <v>30</v>
      </c>
      <c r="Z33" s="159">
        <f t="shared" si="14"/>
        <v>7970</v>
      </c>
      <c r="AA33" s="178" t="s">
        <v>108</v>
      </c>
      <c r="AB33" s="162" t="s">
        <v>35</v>
      </c>
    </row>
    <row r="34" s="148" customFormat="1" ht="20.25" customHeight="1" spans="1:29">
      <c r="A34" s="54">
        <v>29</v>
      </c>
      <c r="B34" s="73" t="s">
        <v>109</v>
      </c>
      <c r="C34" s="60" t="s">
        <v>110</v>
      </c>
      <c r="D34" s="60">
        <v>10000</v>
      </c>
      <c r="E34" s="60">
        <v>10000</v>
      </c>
      <c r="F34" s="60"/>
      <c r="G34" s="60"/>
      <c r="H34" s="60"/>
      <c r="I34" s="61">
        <v>30</v>
      </c>
      <c r="J34" s="60"/>
      <c r="K34" s="60"/>
      <c r="L34" s="60"/>
      <c r="M34" s="60"/>
      <c r="N34" s="60"/>
      <c r="O34" s="60"/>
      <c r="P34" s="60">
        <f t="shared" si="5"/>
        <v>9678</v>
      </c>
      <c r="Q34" s="60"/>
      <c r="R34" s="60"/>
      <c r="S34" s="60"/>
      <c r="T34" s="60">
        <f t="shared" si="12"/>
        <v>30</v>
      </c>
      <c r="U34" s="60"/>
      <c r="V34" s="60"/>
      <c r="W34" s="60"/>
      <c r="X34" s="60"/>
      <c r="Y34" s="60">
        <f t="shared" si="13"/>
        <v>30</v>
      </c>
      <c r="Z34" s="60">
        <f t="shared" si="14"/>
        <v>9648</v>
      </c>
      <c r="AA34" s="179" t="s">
        <v>111</v>
      </c>
      <c r="AB34" s="74" t="s">
        <v>112</v>
      </c>
      <c r="AC34" s="163"/>
    </row>
    <row r="35" s="148" customFormat="1" ht="20.25" customHeight="1" spans="1:29">
      <c r="A35" s="54">
        <v>30</v>
      </c>
      <c r="B35" s="73" t="s">
        <v>113</v>
      </c>
      <c r="C35" s="60" t="s">
        <v>114</v>
      </c>
      <c r="D35" s="60">
        <v>11000</v>
      </c>
      <c r="E35" s="60">
        <v>11000</v>
      </c>
      <c r="F35" s="60"/>
      <c r="G35" s="60"/>
      <c r="H35" s="60"/>
      <c r="I35" s="61">
        <v>31</v>
      </c>
      <c r="J35" s="60"/>
      <c r="K35" s="60"/>
      <c r="L35" s="60"/>
      <c r="M35" s="60"/>
      <c r="N35" s="60"/>
      <c r="O35" s="60"/>
      <c r="P35" s="60">
        <f t="shared" si="5"/>
        <v>11000</v>
      </c>
      <c r="Q35" s="60"/>
      <c r="R35" s="60"/>
      <c r="S35" s="60"/>
      <c r="T35" s="60">
        <f t="shared" ref="T35:T42" si="18">IF(P35,IF(1,30),IF(1,0))</f>
        <v>30</v>
      </c>
      <c r="U35" s="60"/>
      <c r="V35" s="60"/>
      <c r="W35" s="60"/>
      <c r="X35" s="60"/>
      <c r="Y35" s="60">
        <f t="shared" ref="Y35:Y42" si="19">Q35+R35+S35+T35+U35+V35+W35+X35</f>
        <v>30</v>
      </c>
      <c r="Z35" s="60">
        <f t="shared" ref="Z35:Z42" si="20">P35-Y35</f>
        <v>10970</v>
      </c>
      <c r="AA35" s="179" t="s">
        <v>115</v>
      </c>
      <c r="AB35" s="74" t="s">
        <v>78</v>
      </c>
      <c r="AC35" s="163"/>
    </row>
    <row r="36" s="148" customFormat="1" ht="20.25" customHeight="1" spans="1:29">
      <c r="A36" s="54">
        <v>31</v>
      </c>
      <c r="B36" s="73" t="s">
        <v>116</v>
      </c>
      <c r="C36" s="60" t="s">
        <v>114</v>
      </c>
      <c r="D36" s="60">
        <v>11000</v>
      </c>
      <c r="E36" s="60">
        <v>11000</v>
      </c>
      <c r="F36" s="60"/>
      <c r="G36" s="60"/>
      <c r="H36" s="60"/>
      <c r="I36" s="61">
        <v>20</v>
      </c>
      <c r="J36" s="60"/>
      <c r="K36" s="60"/>
      <c r="L36" s="60"/>
      <c r="M36" s="60"/>
      <c r="N36" s="60"/>
      <c r="O36" s="60"/>
      <c r="P36" s="60">
        <f t="shared" si="5"/>
        <v>7097</v>
      </c>
      <c r="Q36" s="60"/>
      <c r="R36" s="60"/>
      <c r="S36" s="60"/>
      <c r="T36" s="60">
        <f t="shared" si="18"/>
        <v>30</v>
      </c>
      <c r="U36" s="60"/>
      <c r="V36" s="60"/>
      <c r="W36" s="60"/>
      <c r="X36" s="60"/>
      <c r="Y36" s="60">
        <f t="shared" si="19"/>
        <v>30</v>
      </c>
      <c r="Z36" s="60">
        <f t="shared" si="20"/>
        <v>7067</v>
      </c>
      <c r="AA36" s="179" t="s">
        <v>117</v>
      </c>
      <c r="AB36" s="74" t="s">
        <v>35</v>
      </c>
      <c r="AC36" s="163"/>
    </row>
    <row r="37" s="148" customFormat="1" ht="20.25" customHeight="1" spans="1:29">
      <c r="A37" s="164">
        <v>32</v>
      </c>
      <c r="B37" s="165" t="s">
        <v>118</v>
      </c>
      <c r="C37" s="164" t="s">
        <v>114</v>
      </c>
      <c r="D37" s="164">
        <v>12000</v>
      </c>
      <c r="E37" s="164">
        <v>12000</v>
      </c>
      <c r="F37" s="164"/>
      <c r="G37" s="164"/>
      <c r="H37" s="164"/>
      <c r="I37" s="166">
        <v>3</v>
      </c>
      <c r="J37" s="164"/>
      <c r="K37" s="164"/>
      <c r="L37" s="164"/>
      <c r="M37" s="164"/>
      <c r="N37" s="164"/>
      <c r="O37" s="164"/>
      <c r="P37" s="164">
        <f t="shared" si="5"/>
        <v>1162</v>
      </c>
      <c r="Q37" s="164"/>
      <c r="R37" s="164"/>
      <c r="S37" s="164"/>
      <c r="T37" s="164">
        <f t="shared" si="18"/>
        <v>30</v>
      </c>
      <c r="U37" s="164"/>
      <c r="V37" s="164"/>
      <c r="W37" s="164"/>
      <c r="X37" s="164"/>
      <c r="Y37" s="164">
        <f t="shared" si="19"/>
        <v>30</v>
      </c>
      <c r="Z37" s="164">
        <f t="shared" si="20"/>
        <v>1132</v>
      </c>
      <c r="AA37" s="180" t="s">
        <v>119</v>
      </c>
      <c r="AB37" s="167" t="s">
        <v>35</v>
      </c>
      <c r="AC37" s="163"/>
    </row>
    <row r="38" s="148" customFormat="1" ht="27" customHeight="1" spans="1:29">
      <c r="A38" s="54">
        <v>33</v>
      </c>
      <c r="B38" s="73" t="s">
        <v>120</v>
      </c>
      <c r="C38" s="60" t="s">
        <v>114</v>
      </c>
      <c r="D38" s="60">
        <v>11000</v>
      </c>
      <c r="E38" s="60">
        <v>11000</v>
      </c>
      <c r="F38" s="60"/>
      <c r="G38" s="60"/>
      <c r="H38" s="168"/>
      <c r="I38" s="168">
        <v>30</v>
      </c>
      <c r="J38" s="60"/>
      <c r="K38" s="60"/>
      <c r="L38" s="60"/>
      <c r="M38" s="60"/>
      <c r="N38" s="60"/>
      <c r="O38" s="60"/>
      <c r="P38" s="60">
        <f t="shared" si="5"/>
        <v>10646</v>
      </c>
      <c r="Q38" s="60"/>
      <c r="R38" s="60"/>
      <c r="S38" s="60"/>
      <c r="T38" s="60">
        <f t="shared" si="18"/>
        <v>30</v>
      </c>
      <c r="U38" s="60"/>
      <c r="V38" s="60"/>
      <c r="W38" s="60"/>
      <c r="X38" s="60"/>
      <c r="Y38" s="60">
        <f t="shared" si="19"/>
        <v>30</v>
      </c>
      <c r="Z38" s="60">
        <f t="shared" si="20"/>
        <v>10616</v>
      </c>
      <c r="AA38" s="179" t="s">
        <v>121</v>
      </c>
      <c r="AB38" s="74" t="s">
        <v>78</v>
      </c>
      <c r="AC38" s="163" t="s">
        <v>122</v>
      </c>
    </row>
    <row r="39" s="148" customFormat="1" ht="20.25" customHeight="1" spans="1:29">
      <c r="A39" s="54">
        <v>34</v>
      </c>
      <c r="B39" s="73" t="s">
        <v>123</v>
      </c>
      <c r="C39" s="60" t="s">
        <v>114</v>
      </c>
      <c r="D39" s="60">
        <v>11000</v>
      </c>
      <c r="E39" s="60">
        <v>11000</v>
      </c>
      <c r="F39" s="60"/>
      <c r="G39" s="60"/>
      <c r="H39" s="60"/>
      <c r="I39" s="61">
        <v>31</v>
      </c>
      <c r="J39" s="60"/>
      <c r="K39" s="60"/>
      <c r="L39" s="60"/>
      <c r="M39" s="60"/>
      <c r="N39" s="60"/>
      <c r="O39" s="60"/>
      <c r="P39" s="60">
        <f t="shared" si="5"/>
        <v>11000</v>
      </c>
      <c r="Q39" s="60"/>
      <c r="R39" s="60"/>
      <c r="S39" s="60"/>
      <c r="T39" s="60">
        <f t="shared" si="18"/>
        <v>30</v>
      </c>
      <c r="U39" s="60"/>
      <c r="V39" s="60"/>
      <c r="W39" s="60"/>
      <c r="X39" s="60"/>
      <c r="Y39" s="60">
        <f t="shared" si="19"/>
        <v>30</v>
      </c>
      <c r="Z39" s="60">
        <f t="shared" si="20"/>
        <v>10970</v>
      </c>
      <c r="AA39" s="179" t="s">
        <v>124</v>
      </c>
      <c r="AB39" s="74" t="s">
        <v>35</v>
      </c>
      <c r="AC39" s="163"/>
    </row>
    <row r="40" s="148" customFormat="1" ht="20.25" customHeight="1" spans="1:29">
      <c r="A40" s="54">
        <v>35</v>
      </c>
      <c r="B40" s="73" t="s">
        <v>125</v>
      </c>
      <c r="C40" s="60" t="s">
        <v>110</v>
      </c>
      <c r="D40" s="60">
        <v>10000</v>
      </c>
      <c r="E40" s="60">
        <v>10000</v>
      </c>
      <c r="F40" s="60"/>
      <c r="G40" s="60"/>
      <c r="H40" s="60"/>
      <c r="I40" s="61">
        <v>31</v>
      </c>
      <c r="J40" s="60"/>
      <c r="K40" s="60"/>
      <c r="L40" s="60"/>
      <c r="M40" s="60"/>
      <c r="N40" s="60"/>
      <c r="O40" s="60"/>
      <c r="P40" s="60">
        <f t="shared" si="5"/>
        <v>10000</v>
      </c>
      <c r="Q40" s="60"/>
      <c r="R40" s="60"/>
      <c r="S40" s="60"/>
      <c r="T40" s="60">
        <f t="shared" si="18"/>
        <v>30</v>
      </c>
      <c r="U40" s="60"/>
      <c r="V40" s="60"/>
      <c r="W40" s="60"/>
      <c r="X40" s="60"/>
      <c r="Y40" s="60">
        <f t="shared" si="19"/>
        <v>30</v>
      </c>
      <c r="Z40" s="60">
        <f t="shared" si="20"/>
        <v>9970</v>
      </c>
      <c r="AA40" s="179" t="s">
        <v>126</v>
      </c>
      <c r="AB40" s="74" t="s">
        <v>35</v>
      </c>
      <c r="AC40" s="163"/>
    </row>
    <row r="41" s="148" customFormat="1" ht="20.25" customHeight="1" spans="1:29">
      <c r="A41" s="54">
        <v>36</v>
      </c>
      <c r="B41" s="73" t="s">
        <v>127</v>
      </c>
      <c r="C41" s="60" t="s">
        <v>128</v>
      </c>
      <c r="D41" s="60">
        <v>10000</v>
      </c>
      <c r="E41" s="60">
        <v>10000</v>
      </c>
      <c r="F41" s="60"/>
      <c r="G41" s="60"/>
      <c r="H41" s="60"/>
      <c r="I41" s="61">
        <v>31</v>
      </c>
      <c r="J41" s="60"/>
      <c r="K41" s="60"/>
      <c r="L41" s="60"/>
      <c r="M41" s="60"/>
      <c r="N41" s="60"/>
      <c r="O41" s="60"/>
      <c r="P41" s="60">
        <f t="shared" si="5"/>
        <v>10000</v>
      </c>
      <c r="Q41" s="60"/>
      <c r="R41" s="60"/>
      <c r="S41" s="60"/>
      <c r="T41" s="60">
        <f t="shared" si="18"/>
        <v>30</v>
      </c>
      <c r="U41" s="60"/>
      <c r="V41" s="60"/>
      <c r="W41" s="60"/>
      <c r="X41" s="60"/>
      <c r="Y41" s="60">
        <f t="shared" si="19"/>
        <v>30</v>
      </c>
      <c r="Z41" s="60">
        <f t="shared" si="20"/>
        <v>9970</v>
      </c>
      <c r="AA41" s="74" t="s">
        <v>129</v>
      </c>
      <c r="AB41" s="74" t="s">
        <v>61</v>
      </c>
      <c r="AC41" s="163"/>
    </row>
    <row r="42" s="148" customFormat="1" ht="20.25" customHeight="1" spans="1:29">
      <c r="A42" s="54">
        <v>37</v>
      </c>
      <c r="B42" s="73" t="s">
        <v>130</v>
      </c>
      <c r="C42" s="60" t="s">
        <v>128</v>
      </c>
      <c r="D42" s="60">
        <v>10000</v>
      </c>
      <c r="E42" s="60">
        <v>10000</v>
      </c>
      <c r="F42" s="60"/>
      <c r="G42" s="60"/>
      <c r="H42" s="60"/>
      <c r="I42" s="61">
        <v>31</v>
      </c>
      <c r="J42" s="60"/>
      <c r="K42" s="60"/>
      <c r="L42" s="60"/>
      <c r="M42" s="60"/>
      <c r="N42" s="60"/>
      <c r="O42" s="60"/>
      <c r="P42" s="60">
        <f t="shared" si="5"/>
        <v>10000</v>
      </c>
      <c r="Q42" s="60"/>
      <c r="R42" s="60"/>
      <c r="S42" s="60"/>
      <c r="T42" s="60">
        <f t="shared" si="18"/>
        <v>30</v>
      </c>
      <c r="U42" s="60"/>
      <c r="V42" s="60"/>
      <c r="W42" s="60"/>
      <c r="X42" s="60"/>
      <c r="Y42" s="60">
        <f t="shared" si="19"/>
        <v>30</v>
      </c>
      <c r="Z42" s="60">
        <f t="shared" si="20"/>
        <v>9970</v>
      </c>
      <c r="AA42" s="179" t="s">
        <v>131</v>
      </c>
      <c r="AB42" s="74" t="s">
        <v>132</v>
      </c>
      <c r="AC42" s="163"/>
    </row>
    <row r="43" s="148" customFormat="1" ht="20.25" customHeight="1" spans="1:29">
      <c r="A43" s="54">
        <v>38</v>
      </c>
      <c r="B43" s="73" t="s">
        <v>133</v>
      </c>
      <c r="C43" s="60" t="s">
        <v>110</v>
      </c>
      <c r="D43" s="60">
        <v>10000</v>
      </c>
      <c r="E43" s="60">
        <v>10000</v>
      </c>
      <c r="F43" s="60"/>
      <c r="G43" s="60"/>
      <c r="H43" s="60"/>
      <c r="I43" s="61">
        <v>18</v>
      </c>
      <c r="J43" s="60"/>
      <c r="K43" s="60"/>
      <c r="L43" s="60"/>
      <c r="M43" s="60"/>
      <c r="N43" s="60"/>
      <c r="O43" s="60"/>
      <c r="P43" s="60">
        <f t="shared" si="5"/>
        <v>5807</v>
      </c>
      <c r="Q43" s="60"/>
      <c r="R43" s="60"/>
      <c r="S43" s="60"/>
      <c r="T43" s="60">
        <f t="shared" ref="T43" si="21">IF(P43,IF(1,30),IF(1,0))</f>
        <v>30</v>
      </c>
      <c r="U43" s="60"/>
      <c r="V43" s="60"/>
      <c r="W43" s="60"/>
      <c r="X43" s="60"/>
      <c r="Y43" s="60">
        <f t="shared" ref="Y43" si="22">Q43+R43+S43+T43+U43+V43+W43+X43</f>
        <v>30</v>
      </c>
      <c r="Z43" s="60">
        <f t="shared" ref="Z43" si="23">P43-Y43</f>
        <v>5777</v>
      </c>
      <c r="AA43" s="179" t="s">
        <v>134</v>
      </c>
      <c r="AB43" s="74" t="s">
        <v>92</v>
      </c>
      <c r="AC43" s="163"/>
    </row>
    <row r="44" ht="20.25" customHeight="1" spans="1:29">
      <c r="A44" s="54">
        <v>39</v>
      </c>
      <c r="B44" s="64" t="s">
        <v>135</v>
      </c>
      <c r="C44" s="54" t="s">
        <v>44</v>
      </c>
      <c r="D44" s="54">
        <v>14000</v>
      </c>
      <c r="E44" s="54">
        <v>14000</v>
      </c>
      <c r="F44" s="54"/>
      <c r="G44" s="54"/>
      <c r="H44" s="54"/>
      <c r="I44" s="65">
        <v>31</v>
      </c>
      <c r="J44" s="54"/>
      <c r="K44" s="54"/>
      <c r="L44" s="54"/>
      <c r="M44" s="54"/>
      <c r="N44" s="54"/>
      <c r="O44" s="54"/>
      <c r="P44" s="54">
        <f t="shared" si="5"/>
        <v>14000</v>
      </c>
      <c r="Q44" s="54"/>
      <c r="R44" s="54"/>
      <c r="S44" s="54"/>
      <c r="T44" s="54">
        <f t="shared" ref="T44:T45" si="24">IF(P44,IF(1,30),IF(1,0))</f>
        <v>30</v>
      </c>
      <c r="U44" s="54"/>
      <c r="V44" s="54"/>
      <c r="W44" s="54"/>
      <c r="X44" s="54"/>
      <c r="Y44" s="54">
        <f t="shared" ref="Y44:Y45" si="25">Q44+R44+S44+T44+U44+V44+W44+X44</f>
        <v>30</v>
      </c>
      <c r="Z44" s="54">
        <f t="shared" ref="Z44:Z45" si="26">P44-Y44</f>
        <v>13970</v>
      </c>
      <c r="AA44" s="177" t="s">
        <v>136</v>
      </c>
      <c r="AB44" s="72" t="s">
        <v>137</v>
      </c>
      <c r="AC44" s="95"/>
    </row>
    <row r="45" ht="20.25" customHeight="1" spans="1:29">
      <c r="A45" s="54">
        <v>40</v>
      </c>
      <c r="B45" s="64" t="s">
        <v>138</v>
      </c>
      <c r="C45" s="54" t="s">
        <v>44</v>
      </c>
      <c r="D45" s="54">
        <v>14000</v>
      </c>
      <c r="E45" s="54">
        <v>14000</v>
      </c>
      <c r="F45" s="54"/>
      <c r="G45" s="54"/>
      <c r="H45" s="54"/>
      <c r="I45" s="65">
        <v>31</v>
      </c>
      <c r="J45" s="54"/>
      <c r="K45" s="54"/>
      <c r="L45" s="54"/>
      <c r="M45" s="54"/>
      <c r="N45" s="54"/>
      <c r="O45" s="54"/>
      <c r="P45" s="54">
        <f t="shared" si="5"/>
        <v>14000</v>
      </c>
      <c r="Q45" s="54"/>
      <c r="R45" s="54"/>
      <c r="S45" s="54"/>
      <c r="T45" s="54">
        <f t="shared" si="24"/>
        <v>30</v>
      </c>
      <c r="U45" s="54"/>
      <c r="V45" s="54"/>
      <c r="W45" s="54"/>
      <c r="X45" s="54"/>
      <c r="Y45" s="54">
        <f t="shared" si="25"/>
        <v>30</v>
      </c>
      <c r="Z45" s="54">
        <f t="shared" si="26"/>
        <v>13970</v>
      </c>
      <c r="AA45" s="181" t="s">
        <v>139</v>
      </c>
      <c r="AB45" s="72" t="s">
        <v>112</v>
      </c>
      <c r="AC45" s="95"/>
    </row>
    <row r="46" ht="20.25" customHeight="1" spans="1:29">
      <c r="A46" s="81"/>
      <c r="B46" s="80" t="s">
        <v>140</v>
      </c>
      <c r="C46" s="81"/>
      <c r="D46" s="81">
        <f>SUM(D6:D45)</f>
        <v>519000</v>
      </c>
      <c r="E46" s="81">
        <f>SUM(E6:E45)</f>
        <v>519000</v>
      </c>
      <c r="F46" s="81">
        <f>SUM(F6:F43)</f>
        <v>0</v>
      </c>
      <c r="G46" s="81">
        <f>SUM(G6:G43)</f>
        <v>0</v>
      </c>
      <c r="H46" s="81">
        <f>SUM(H6:H43)</f>
        <v>0</v>
      </c>
      <c r="I46" s="81"/>
      <c r="J46" s="81">
        <f t="shared" ref="J46:O46" si="27">SUM(J6:J43)</f>
        <v>0</v>
      </c>
      <c r="K46" s="81">
        <f t="shared" si="27"/>
        <v>0</v>
      </c>
      <c r="L46" s="81">
        <f t="shared" si="27"/>
        <v>0</v>
      </c>
      <c r="M46" s="81">
        <f t="shared" si="27"/>
        <v>-3000</v>
      </c>
      <c r="N46" s="81">
        <f t="shared" si="27"/>
        <v>0</v>
      </c>
      <c r="O46" s="81">
        <f t="shared" si="27"/>
        <v>0</v>
      </c>
      <c r="P46" s="81">
        <f t="shared" ref="P46:Z46" si="28">SUM(P6:P45)</f>
        <v>458203</v>
      </c>
      <c r="Q46" s="81">
        <f t="shared" si="28"/>
        <v>0</v>
      </c>
      <c r="R46" s="81">
        <f t="shared" si="28"/>
        <v>0</v>
      </c>
      <c r="S46" s="81">
        <f t="shared" si="28"/>
        <v>0</v>
      </c>
      <c r="T46" s="81">
        <f t="shared" si="28"/>
        <v>1200</v>
      </c>
      <c r="U46" s="81">
        <f t="shared" si="28"/>
        <v>0</v>
      </c>
      <c r="V46" s="81">
        <f t="shared" si="28"/>
        <v>0</v>
      </c>
      <c r="W46" s="81">
        <f t="shared" si="28"/>
        <v>0</v>
      </c>
      <c r="X46" s="81">
        <f t="shared" si="28"/>
        <v>0</v>
      </c>
      <c r="Y46" s="81">
        <f t="shared" si="28"/>
        <v>1200</v>
      </c>
      <c r="Z46" s="81">
        <f t="shared" si="28"/>
        <v>457003</v>
      </c>
      <c r="AA46" s="51"/>
      <c r="AB46" s="169"/>
    </row>
    <row r="47" ht="20.25" customHeight="1" spans="1:29">
      <c r="A47" s="170"/>
      <c r="B47" s="171"/>
      <c r="C47" s="172"/>
      <c r="D47" s="172"/>
      <c r="E47" s="170"/>
      <c r="F47" s="170"/>
      <c r="G47" s="170"/>
      <c r="H47" s="170"/>
      <c r="I47" s="173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3"/>
      <c r="AB47" s="174"/>
    </row>
    <row r="48" s="41" customFormat="1" ht="66" customHeight="1" spans="1:29">
      <c r="A48" s="88"/>
      <c r="B48" s="89" t="s">
        <v>141</v>
      </c>
      <c r="C48" s="89" t="s">
        <v>142</v>
      </c>
      <c r="D48" s="89"/>
      <c r="E48" s="89" t="s">
        <v>142</v>
      </c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3"/>
    </row>
    <row r="49" s="42" customFormat="1" ht="28.5" customHeight="1" spans="1:29">
      <c r="A49" s="91"/>
      <c r="B49" s="92" t="s">
        <v>143</v>
      </c>
      <c r="C49" s="93" t="s">
        <v>144</v>
      </c>
      <c r="D49" s="93"/>
      <c r="E49" s="93" t="s">
        <v>145</v>
      </c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 t="s">
        <v>146</v>
      </c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 t="s">
        <v>147</v>
      </c>
      <c r="AB49" s="93"/>
      <c r="AC49" s="150"/>
    </row>
    <row r="50" ht="28.5" customHeight="1" spans="1:29">
      <c r="A50" s="95"/>
      <c r="B50" s="94"/>
      <c r="C50" s="95"/>
      <c r="D50" s="95"/>
      <c r="E50" s="95"/>
      <c r="F50" s="95"/>
      <c r="G50" s="95"/>
      <c r="H50" s="95"/>
      <c r="I50" s="17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175"/>
      <c r="AB50" s="95"/>
    </row>
    <row r="51" ht="28.5" customHeight="1" spans="1:29">
      <c r="A51" s="95"/>
      <c r="B51" s="94"/>
      <c r="C51" s="95"/>
      <c r="D51" s="95"/>
      <c r="E51" s="95"/>
      <c r="F51" s="95"/>
      <c r="G51" s="95"/>
      <c r="H51" s="95"/>
      <c r="I51" s="17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176"/>
      <c r="W51" s="95"/>
      <c r="X51" s="95"/>
      <c r="Y51" s="95"/>
      <c r="Z51" s="95"/>
      <c r="AA51" s="175"/>
      <c r="AB51" s="95"/>
    </row>
    <row r="52" ht="28.5" customHeight="1" spans="1:29">
      <c r="A52" s="95"/>
      <c r="B52" s="94"/>
      <c r="C52" s="95"/>
      <c r="D52" s="95"/>
      <c r="E52" s="95"/>
      <c r="F52" s="95"/>
      <c r="G52" s="95"/>
      <c r="H52" s="95"/>
      <c r="I52" s="17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176"/>
      <c r="AA52" s="175"/>
      <c r="AB52" s="95"/>
    </row>
    <row r="53" ht="28.5" customHeight="1" spans="1:29">
      <c r="A53" s="95"/>
      <c r="B53" s="94"/>
      <c r="C53" s="95"/>
      <c r="D53" s="95"/>
      <c r="E53" s="95"/>
      <c r="F53" s="95"/>
      <c r="G53" s="95"/>
      <c r="H53" s="95"/>
      <c r="I53" s="17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175"/>
      <c r="AB53" s="95"/>
    </row>
    <row r="54" ht="28.5" customHeight="1" spans="1:29">
      <c r="A54" s="95"/>
      <c r="B54" s="94"/>
      <c r="C54" s="95"/>
      <c r="D54" s="95"/>
      <c r="E54" s="95"/>
      <c r="F54" s="95"/>
      <c r="G54" s="95"/>
      <c r="H54" s="95"/>
      <c r="I54" s="17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175"/>
      <c r="AB54" s="95"/>
    </row>
    <row r="55" ht="28.5" customHeight="1" spans="1:29">
      <c r="A55" s="95"/>
      <c r="B55" s="94"/>
      <c r="C55" s="95"/>
      <c r="D55" s="95"/>
      <c r="E55" s="95"/>
      <c r="F55" s="95"/>
      <c r="G55" s="95"/>
      <c r="H55" s="95"/>
      <c r="I55" s="17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175"/>
      <c r="AB55" s="95"/>
    </row>
    <row r="56" ht="28.5" customHeight="1" spans="1:29">
      <c r="A56" s="95"/>
      <c r="B56" s="94"/>
      <c r="C56" s="95"/>
      <c r="D56" s="95"/>
      <c r="E56" s="95"/>
      <c r="F56" s="95"/>
      <c r="G56" s="95"/>
      <c r="H56" s="95"/>
      <c r="I56" s="17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175"/>
      <c r="AB56" s="95"/>
    </row>
    <row r="57" ht="28.5" customHeight="1" spans="1:29">
      <c r="A57" s="95"/>
      <c r="B57" s="94"/>
      <c r="C57" s="95"/>
      <c r="D57" s="95"/>
      <c r="E57" s="95"/>
      <c r="F57" s="95"/>
      <c r="G57" s="95"/>
      <c r="H57" s="95"/>
      <c r="I57" s="17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175"/>
      <c r="AB57" s="95"/>
    </row>
    <row r="58" ht="28.5" customHeight="1" spans="1:29">
      <c r="A58" s="95"/>
      <c r="B58" s="94"/>
      <c r="C58" s="95"/>
      <c r="D58" s="95"/>
      <c r="E58" s="95"/>
      <c r="F58" s="95"/>
      <c r="G58" s="95"/>
      <c r="H58" s="95"/>
      <c r="I58" s="17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175"/>
      <c r="AB58" s="95"/>
    </row>
    <row r="59" ht="28.5" customHeight="1" spans="1:29">
      <c r="A59" s="95"/>
      <c r="B59" s="94"/>
      <c r="C59" s="95"/>
      <c r="D59" s="95"/>
      <c r="E59" s="95"/>
      <c r="F59" s="95"/>
      <c r="G59" s="95"/>
      <c r="H59" s="95"/>
      <c r="I59" s="17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175"/>
      <c r="AB59" s="95"/>
    </row>
    <row r="60" ht="28.5" customHeight="1" spans="1:29">
      <c r="A60" s="95"/>
      <c r="B60" s="94"/>
      <c r="C60" s="95"/>
      <c r="D60" s="95"/>
      <c r="E60" s="95"/>
      <c r="F60" s="95"/>
      <c r="G60" s="95"/>
      <c r="H60" s="95"/>
      <c r="I60" s="17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175"/>
      <c r="AB60" s="95"/>
    </row>
    <row r="61" ht="28.5" customHeight="1" spans="1:29">
      <c r="A61" s="95"/>
      <c r="B61" s="94"/>
      <c r="C61" s="95"/>
      <c r="D61" s="95"/>
      <c r="E61" s="95"/>
      <c r="F61" s="95"/>
      <c r="G61" s="95"/>
      <c r="H61" s="95"/>
      <c r="I61" s="17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175"/>
      <c r="AB61" s="95"/>
    </row>
    <row r="62" ht="28.5" customHeight="1" spans="1:29">
      <c r="A62" s="95"/>
      <c r="B62" s="94"/>
      <c r="C62" s="95"/>
      <c r="D62" s="95"/>
      <c r="E62" s="95"/>
      <c r="F62" s="95"/>
      <c r="G62" s="95"/>
      <c r="H62" s="95"/>
      <c r="I62" s="17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175"/>
      <c r="AB62" s="95"/>
    </row>
    <row r="63" ht="28.5" customHeight="1" spans="1:29">
      <c r="A63" s="95"/>
      <c r="B63" s="94"/>
      <c r="C63" s="95"/>
      <c r="D63" s="95"/>
      <c r="E63" s="95"/>
      <c r="F63" s="95"/>
      <c r="G63" s="95"/>
      <c r="H63" s="95"/>
      <c r="I63" s="17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175"/>
      <c r="AB63" s="95"/>
    </row>
    <row r="64" ht="28.5" customHeight="1" spans="1:29">
      <c r="A64" s="95"/>
      <c r="B64" s="94"/>
      <c r="C64" s="95"/>
      <c r="D64" s="95"/>
      <c r="E64" s="95"/>
      <c r="F64" s="95"/>
      <c r="G64" s="95"/>
      <c r="H64" s="95"/>
      <c r="I64" s="17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175"/>
      <c r="AB64" s="95"/>
    </row>
    <row r="65" ht="28.5" customHeight="1" spans="1:28">
      <c r="A65" s="95"/>
      <c r="B65" s="94"/>
      <c r="C65" s="95"/>
      <c r="D65" s="95"/>
      <c r="E65" s="95"/>
      <c r="F65" s="95"/>
      <c r="G65" s="95"/>
      <c r="H65" s="95"/>
      <c r="I65" s="17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175"/>
      <c r="AB65" s="95"/>
    </row>
    <row r="66" ht="28.5" customHeight="1" spans="1:28">
      <c r="A66" s="95"/>
      <c r="B66" s="94"/>
      <c r="C66" s="95"/>
      <c r="D66" s="95"/>
      <c r="E66" s="95"/>
      <c r="F66" s="95"/>
      <c r="G66" s="95"/>
      <c r="H66" s="95"/>
      <c r="I66" s="17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175"/>
      <c r="AB66" s="95"/>
    </row>
    <row r="67" ht="28.5" customHeight="1" spans="1:28">
      <c r="A67" s="95"/>
      <c r="B67" s="94"/>
      <c r="C67" s="95"/>
      <c r="D67" s="95"/>
      <c r="E67" s="95"/>
      <c r="F67" s="95"/>
      <c r="G67" s="95"/>
      <c r="H67" s="95"/>
      <c r="I67" s="17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175"/>
      <c r="AB67" s="95"/>
    </row>
    <row r="68" ht="28.5" customHeight="1" spans="1:28">
      <c r="A68" s="95"/>
      <c r="B68" s="94"/>
      <c r="C68" s="95"/>
      <c r="D68" s="95"/>
      <c r="E68" s="95"/>
      <c r="F68" s="95"/>
      <c r="G68" s="95"/>
      <c r="H68" s="95"/>
      <c r="I68" s="17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175"/>
      <c r="AB68" s="95"/>
    </row>
    <row r="69" ht="28.5" customHeight="1" spans="1:28">
      <c r="A69" s="95"/>
      <c r="B69" s="94"/>
      <c r="C69" s="95"/>
      <c r="D69" s="95"/>
      <c r="E69" s="95"/>
      <c r="F69" s="95"/>
      <c r="G69" s="95"/>
      <c r="H69" s="95"/>
      <c r="I69" s="17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175"/>
      <c r="AB69" s="95"/>
    </row>
    <row r="70" ht="28.5" customHeight="1" spans="1:28">
      <c r="A70" s="95"/>
      <c r="B70" s="94"/>
      <c r="C70" s="95"/>
      <c r="D70" s="95"/>
      <c r="E70" s="95"/>
      <c r="F70" s="95"/>
      <c r="G70" s="95"/>
      <c r="H70" s="95"/>
      <c r="I70" s="17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175"/>
      <c r="AB70" s="95"/>
    </row>
    <row r="71" ht="28.5" customHeight="1" spans="1:28">
      <c r="A71" s="95"/>
      <c r="B71" s="94"/>
      <c r="C71" s="95"/>
      <c r="D71" s="95"/>
      <c r="E71" s="95"/>
      <c r="F71" s="95"/>
      <c r="G71" s="95"/>
      <c r="H71" s="95"/>
      <c r="I71" s="17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175"/>
      <c r="AB71" s="95"/>
    </row>
    <row r="72" ht="28.5" customHeight="1" spans="1:28">
      <c r="A72" s="95"/>
      <c r="B72" s="94"/>
      <c r="C72" s="95"/>
      <c r="D72" s="95"/>
      <c r="E72" s="95"/>
      <c r="F72" s="95"/>
      <c r="G72" s="95"/>
      <c r="H72" s="95"/>
      <c r="I72" s="17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175"/>
      <c r="AB72" s="95"/>
    </row>
    <row r="73" ht="28.5" customHeight="1" spans="1:28">
      <c r="A73" s="95"/>
      <c r="B73" s="94"/>
      <c r="C73" s="95"/>
      <c r="D73" s="95"/>
      <c r="E73" s="95"/>
      <c r="F73" s="95"/>
      <c r="G73" s="95"/>
      <c r="H73" s="95"/>
      <c r="I73" s="17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175"/>
      <c r="AB73" s="95"/>
    </row>
    <row r="74" ht="28.5" customHeight="1" spans="1:28">
      <c r="A74" s="95"/>
      <c r="B74" s="94"/>
      <c r="C74" s="95"/>
      <c r="D74" s="95"/>
      <c r="E74" s="95"/>
      <c r="F74" s="95"/>
      <c r="G74" s="95"/>
      <c r="H74" s="95"/>
      <c r="I74" s="17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175"/>
      <c r="AB74" s="95"/>
    </row>
    <row r="75" ht="28.5" customHeight="1" spans="1:28">
      <c r="A75" s="95"/>
      <c r="B75" s="94"/>
      <c r="C75" s="95"/>
      <c r="D75" s="95"/>
      <c r="E75" s="95"/>
      <c r="F75" s="95"/>
      <c r="G75" s="95"/>
      <c r="H75" s="95"/>
      <c r="I75" s="17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175"/>
      <c r="AB75" s="95"/>
    </row>
    <row r="76" ht="28.5" customHeight="1" spans="1:28">
      <c r="A76" s="95"/>
      <c r="B76" s="94"/>
      <c r="C76" s="95"/>
      <c r="D76" s="95"/>
      <c r="E76" s="95"/>
      <c r="F76" s="95"/>
      <c r="G76" s="95"/>
      <c r="H76" s="95"/>
      <c r="I76" s="17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175"/>
      <c r="AB76" s="95"/>
    </row>
    <row r="77" ht="28.5" customHeight="1" spans="1:28">
      <c r="A77" s="95"/>
      <c r="B77" s="94"/>
      <c r="C77" s="95"/>
      <c r="D77" s="95"/>
      <c r="E77" s="95"/>
      <c r="F77" s="95"/>
      <c r="G77" s="95"/>
      <c r="H77" s="95"/>
      <c r="I77" s="17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175"/>
      <c r="AB77" s="95"/>
    </row>
    <row r="78" ht="28.5" customHeight="1" spans="1:28">
      <c r="A78" s="95"/>
      <c r="B78" s="94"/>
      <c r="C78" s="95"/>
      <c r="D78" s="95"/>
      <c r="E78" s="95"/>
      <c r="F78" s="95"/>
      <c r="G78" s="95"/>
      <c r="H78" s="95"/>
      <c r="I78" s="17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175"/>
      <c r="AB78" s="95"/>
    </row>
    <row r="79" ht="28.5" customHeight="1" spans="1:28">
      <c r="A79" s="95"/>
      <c r="B79" s="94"/>
      <c r="C79" s="95"/>
      <c r="D79" s="95"/>
      <c r="E79" s="95"/>
      <c r="F79" s="95"/>
      <c r="G79" s="95"/>
      <c r="H79" s="95"/>
      <c r="I79" s="17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175"/>
      <c r="AB79" s="95"/>
    </row>
    <row r="80" ht="28.5" customHeight="1" spans="1:28">
      <c r="A80" s="95"/>
      <c r="B80" s="94"/>
      <c r="C80" s="95"/>
      <c r="D80" s="95"/>
      <c r="E80" s="95"/>
      <c r="F80" s="95"/>
      <c r="G80" s="95"/>
      <c r="H80" s="95"/>
      <c r="I80" s="17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175"/>
      <c r="AB80" s="95"/>
    </row>
    <row r="81" ht="28.5" customHeight="1" spans="1:28">
      <c r="A81" s="95"/>
      <c r="B81" s="94"/>
      <c r="C81" s="95"/>
      <c r="D81" s="95"/>
      <c r="E81" s="95"/>
      <c r="F81" s="95"/>
      <c r="G81" s="95"/>
      <c r="H81" s="95"/>
      <c r="I81" s="17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175"/>
      <c r="AB81" s="95"/>
    </row>
    <row r="82" ht="28.5" customHeight="1" spans="1:28">
      <c r="A82" s="95"/>
      <c r="B82" s="94"/>
      <c r="C82" s="95"/>
      <c r="D82" s="95"/>
      <c r="E82" s="95"/>
      <c r="F82" s="95"/>
      <c r="G82" s="95"/>
      <c r="H82" s="95"/>
      <c r="I82" s="17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175"/>
      <c r="AB82" s="95"/>
    </row>
    <row r="83" ht="28.5" customHeight="1" spans="1:28">
      <c r="A83" s="95"/>
      <c r="B83" s="94"/>
      <c r="C83" s="95"/>
      <c r="D83" s="95"/>
      <c r="E83" s="95"/>
      <c r="F83" s="95"/>
      <c r="G83" s="95"/>
      <c r="H83" s="95"/>
      <c r="I83" s="17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175"/>
      <c r="AB83" s="95"/>
    </row>
    <row r="84" ht="28.5" customHeight="1" spans="1:28">
      <c r="A84" s="95"/>
      <c r="B84" s="94"/>
      <c r="C84" s="95"/>
      <c r="D84" s="95"/>
      <c r="E84" s="95"/>
      <c r="F84" s="95"/>
      <c r="G84" s="95"/>
      <c r="H84" s="95"/>
      <c r="I84" s="17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175"/>
      <c r="AB84" s="95"/>
    </row>
    <row r="85" ht="28.5" customHeight="1" spans="1:28">
      <c r="A85" s="95"/>
      <c r="B85" s="94"/>
      <c r="C85" s="95"/>
      <c r="D85" s="95"/>
      <c r="E85" s="95"/>
      <c r="F85" s="95"/>
      <c r="G85" s="95"/>
      <c r="H85" s="95"/>
      <c r="I85" s="17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175"/>
      <c r="AB85" s="95"/>
    </row>
    <row r="86" ht="28.5" customHeight="1" spans="1:28">
      <c r="A86" s="95"/>
      <c r="B86" s="94"/>
      <c r="C86" s="95"/>
      <c r="D86" s="95"/>
      <c r="E86" s="95"/>
      <c r="F86" s="95"/>
      <c r="G86" s="95"/>
      <c r="H86" s="95"/>
      <c r="I86" s="17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175"/>
      <c r="AB86" s="95"/>
    </row>
    <row r="87" ht="28.5" customHeight="1" spans="1:28">
      <c r="A87" s="95"/>
      <c r="B87" s="94"/>
      <c r="C87" s="95"/>
      <c r="D87" s="95"/>
      <c r="E87" s="95"/>
      <c r="F87" s="95"/>
      <c r="G87" s="95"/>
      <c r="H87" s="95"/>
      <c r="I87" s="17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175"/>
      <c r="AB87" s="95"/>
    </row>
    <row r="88" ht="28.5" customHeight="1" spans="1:28">
      <c r="A88" s="95"/>
      <c r="B88" s="94"/>
      <c r="C88" s="95"/>
      <c r="D88" s="95"/>
      <c r="E88" s="95"/>
      <c r="F88" s="95"/>
      <c r="G88" s="95"/>
      <c r="H88" s="95"/>
      <c r="I88" s="17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175"/>
      <c r="AB88" s="95"/>
    </row>
    <row r="89" ht="28.5" customHeight="1" spans="1:28">
      <c r="A89" s="95"/>
      <c r="B89" s="94"/>
      <c r="C89" s="95"/>
      <c r="D89" s="95"/>
      <c r="E89" s="95"/>
      <c r="F89" s="95"/>
      <c r="G89" s="95"/>
      <c r="H89" s="95"/>
      <c r="I89" s="17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175"/>
      <c r="AB89" s="95"/>
    </row>
    <row r="90" ht="28.5" customHeight="1" spans="1:28">
      <c r="A90" s="95"/>
      <c r="B90" s="94"/>
      <c r="C90" s="95"/>
      <c r="D90" s="95"/>
      <c r="E90" s="95"/>
      <c r="F90" s="95"/>
      <c r="G90" s="95"/>
      <c r="H90" s="95"/>
      <c r="I90" s="17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175"/>
      <c r="AB90" s="95"/>
    </row>
    <row r="91" ht="28.5" customHeight="1" spans="1:28">
      <c r="A91" s="95"/>
      <c r="B91" s="94"/>
      <c r="C91" s="95"/>
      <c r="D91" s="95"/>
      <c r="E91" s="95"/>
      <c r="F91" s="95"/>
      <c r="G91" s="95"/>
      <c r="H91" s="95"/>
      <c r="I91" s="17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175"/>
      <c r="AB91" s="95"/>
    </row>
    <row r="92" ht="28.5" customHeight="1" spans="1:28">
      <c r="A92" s="95"/>
      <c r="B92" s="94"/>
      <c r="C92" s="95"/>
      <c r="D92" s="95"/>
      <c r="E92" s="95"/>
      <c r="F92" s="95"/>
      <c r="G92" s="95"/>
      <c r="H92" s="95"/>
      <c r="I92" s="17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175"/>
      <c r="AB92" s="95"/>
    </row>
    <row r="93" ht="28.5" customHeight="1" spans="1:28">
      <c r="A93" s="95"/>
      <c r="B93" s="94"/>
      <c r="C93" s="95"/>
      <c r="D93" s="95"/>
      <c r="E93" s="95"/>
      <c r="F93" s="95"/>
      <c r="G93" s="95"/>
      <c r="H93" s="95"/>
      <c r="I93" s="17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175"/>
      <c r="AB93" s="95"/>
    </row>
    <row r="94" ht="28.5" customHeight="1" spans="1:28">
      <c r="A94" s="95"/>
      <c r="B94" s="94"/>
      <c r="C94" s="95"/>
      <c r="D94" s="95"/>
      <c r="E94" s="95"/>
      <c r="F94" s="95"/>
      <c r="G94" s="95"/>
      <c r="H94" s="95"/>
      <c r="I94" s="17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175"/>
      <c r="AB94" s="95"/>
    </row>
    <row r="95" ht="28.5" customHeight="1" spans="1:28">
      <c r="A95" s="95"/>
      <c r="B95" s="94"/>
      <c r="C95" s="95"/>
      <c r="D95" s="95"/>
      <c r="E95" s="95"/>
      <c r="F95" s="95"/>
      <c r="G95" s="95"/>
      <c r="H95" s="95"/>
      <c r="I95" s="17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175"/>
      <c r="AB95" s="95"/>
    </row>
    <row r="96" ht="28.5" customHeight="1" spans="1:28">
      <c r="A96" s="95"/>
      <c r="B96" s="94"/>
      <c r="C96" s="95"/>
      <c r="D96" s="95"/>
      <c r="E96" s="95"/>
      <c r="F96" s="95"/>
      <c r="G96" s="95"/>
      <c r="H96" s="95"/>
      <c r="I96" s="17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175"/>
      <c r="AB96" s="95"/>
    </row>
    <row r="97" ht="28.5" customHeight="1" spans="1:28">
      <c r="A97" s="95"/>
      <c r="B97" s="94"/>
      <c r="C97" s="95"/>
      <c r="D97" s="95"/>
      <c r="E97" s="95"/>
      <c r="F97" s="95"/>
      <c r="G97" s="95"/>
      <c r="H97" s="95"/>
      <c r="I97" s="17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175"/>
      <c r="AB97" s="95"/>
    </row>
    <row r="98" ht="28.5" customHeight="1" spans="1:28">
      <c r="A98" s="95"/>
      <c r="B98" s="94"/>
      <c r="C98" s="95"/>
      <c r="D98" s="95"/>
      <c r="E98" s="95"/>
      <c r="F98" s="95"/>
      <c r="G98" s="95"/>
      <c r="H98" s="95"/>
      <c r="I98" s="17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175"/>
      <c r="AB98" s="95"/>
    </row>
    <row r="99" ht="28.5" customHeight="1" spans="1:28">
      <c r="A99" s="95"/>
      <c r="B99" s="94"/>
      <c r="C99" s="95"/>
      <c r="D99" s="95"/>
      <c r="E99" s="95"/>
      <c r="F99" s="95"/>
      <c r="G99" s="95"/>
      <c r="H99" s="95"/>
      <c r="I99" s="17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175"/>
      <c r="AB99" s="95"/>
    </row>
    <row r="100" ht="28.5" customHeight="1" spans="1:28">
      <c r="A100" s="95"/>
      <c r="B100" s="94"/>
      <c r="C100" s="95"/>
      <c r="D100" s="95"/>
      <c r="E100" s="95"/>
      <c r="F100" s="95"/>
      <c r="G100" s="95"/>
      <c r="H100" s="95"/>
      <c r="I100" s="17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175"/>
      <c r="AB100" s="95"/>
    </row>
    <row r="101" ht="28.5" customHeight="1" spans="1:28">
      <c r="A101" s="95"/>
      <c r="B101" s="94"/>
      <c r="C101" s="95"/>
      <c r="D101" s="95"/>
      <c r="E101" s="95"/>
      <c r="F101" s="95"/>
      <c r="G101" s="95"/>
      <c r="H101" s="95"/>
      <c r="I101" s="17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175"/>
      <c r="AB101" s="95"/>
    </row>
    <row r="102" ht="28.5" customHeight="1" spans="1:28">
      <c r="A102" s="95"/>
      <c r="B102" s="94"/>
      <c r="C102" s="95"/>
      <c r="D102" s="95"/>
      <c r="E102" s="95"/>
      <c r="F102" s="95"/>
      <c r="G102" s="95"/>
      <c r="H102" s="95"/>
      <c r="I102" s="17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175"/>
      <c r="AB102" s="95"/>
    </row>
    <row r="103" ht="28.5" customHeight="1" spans="1:28">
      <c r="A103" s="95"/>
      <c r="B103" s="94"/>
      <c r="C103" s="95"/>
      <c r="D103" s="95"/>
      <c r="E103" s="95"/>
      <c r="F103" s="95"/>
      <c r="G103" s="95"/>
      <c r="H103" s="95"/>
      <c r="I103" s="17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175"/>
      <c r="AB103" s="95"/>
    </row>
    <row r="104" ht="28.5" customHeight="1" spans="1:28">
      <c r="A104" s="95"/>
      <c r="B104" s="94"/>
      <c r="C104" s="95"/>
      <c r="D104" s="95"/>
      <c r="E104" s="95"/>
      <c r="F104" s="95"/>
      <c r="G104" s="95"/>
      <c r="H104" s="95"/>
      <c r="I104" s="17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175"/>
      <c r="AB104" s="95"/>
    </row>
    <row r="105" ht="28.5" customHeight="1" spans="1:28">
      <c r="A105" s="95"/>
      <c r="B105" s="94"/>
      <c r="C105" s="95"/>
      <c r="D105" s="95"/>
      <c r="E105" s="95"/>
      <c r="F105" s="95"/>
      <c r="G105" s="95"/>
      <c r="H105" s="95"/>
      <c r="I105" s="17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175"/>
      <c r="AB105" s="95"/>
    </row>
    <row r="106" ht="28.5" customHeight="1" spans="1:28">
      <c r="A106" s="95"/>
      <c r="B106" s="94"/>
      <c r="C106" s="95"/>
      <c r="D106" s="95"/>
      <c r="E106" s="95"/>
      <c r="F106" s="95"/>
      <c r="G106" s="95"/>
      <c r="H106" s="95"/>
      <c r="I106" s="17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175"/>
      <c r="AB106" s="95"/>
    </row>
    <row r="107" ht="28.5" customHeight="1" spans="1:28">
      <c r="A107" s="95"/>
      <c r="B107" s="94"/>
      <c r="C107" s="95"/>
      <c r="D107" s="95"/>
      <c r="E107" s="95"/>
      <c r="F107" s="95"/>
      <c r="G107" s="95"/>
      <c r="H107" s="95"/>
      <c r="I107" s="17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175"/>
      <c r="AB107" s="95"/>
    </row>
    <row r="108" ht="28.5" customHeight="1" spans="1:28">
      <c r="A108" s="95"/>
      <c r="B108" s="94"/>
      <c r="C108" s="95"/>
      <c r="D108" s="95"/>
      <c r="E108" s="95"/>
      <c r="F108" s="95"/>
      <c r="G108" s="95"/>
      <c r="H108" s="95"/>
      <c r="I108" s="17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175"/>
      <c r="AB108" s="95"/>
    </row>
    <row r="109" ht="28.5" customHeight="1" spans="1:28">
      <c r="A109" s="95"/>
      <c r="B109" s="94"/>
      <c r="C109" s="95"/>
      <c r="D109" s="95"/>
      <c r="E109" s="95"/>
      <c r="F109" s="95"/>
      <c r="G109" s="95"/>
      <c r="H109" s="95"/>
      <c r="I109" s="17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175"/>
      <c r="AB109" s="95"/>
    </row>
    <row r="110" ht="28.5" customHeight="1" spans="1:28">
      <c r="A110" s="95"/>
      <c r="B110" s="94"/>
      <c r="C110" s="95"/>
      <c r="D110" s="95"/>
      <c r="E110" s="95"/>
      <c r="F110" s="95"/>
      <c r="G110" s="95"/>
      <c r="H110" s="95"/>
      <c r="I110" s="17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175"/>
      <c r="AB110" s="95"/>
    </row>
    <row r="111" ht="28.5" customHeight="1" spans="1:28">
      <c r="A111" s="95"/>
      <c r="B111" s="94"/>
      <c r="C111" s="95"/>
      <c r="D111" s="95"/>
      <c r="E111" s="95"/>
      <c r="F111" s="95"/>
      <c r="G111" s="95"/>
      <c r="H111" s="95"/>
      <c r="I111" s="17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175"/>
      <c r="AB111" s="95"/>
    </row>
    <row r="112" ht="28.5" customHeight="1" spans="1:28">
      <c r="A112" s="95"/>
      <c r="B112" s="94"/>
      <c r="C112" s="95"/>
      <c r="D112" s="95"/>
      <c r="E112" s="95"/>
      <c r="F112" s="95"/>
      <c r="G112" s="95"/>
      <c r="H112" s="95"/>
      <c r="I112" s="17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175"/>
      <c r="AB112" s="95"/>
    </row>
    <row r="113" ht="28.5" customHeight="1" spans="1:28">
      <c r="A113" s="95"/>
      <c r="B113" s="94"/>
      <c r="C113" s="95"/>
      <c r="D113" s="95"/>
      <c r="E113" s="95"/>
      <c r="F113" s="95"/>
      <c r="G113" s="95"/>
      <c r="H113" s="95"/>
      <c r="I113" s="17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175"/>
      <c r="AB113" s="95"/>
    </row>
    <row r="114" ht="28.5" customHeight="1" spans="1:28">
      <c r="A114" s="95"/>
      <c r="B114" s="94"/>
      <c r="C114" s="95"/>
      <c r="D114" s="95"/>
      <c r="E114" s="95"/>
      <c r="F114" s="95"/>
      <c r="G114" s="95"/>
      <c r="H114" s="95"/>
      <c r="I114" s="17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175"/>
      <c r="AB114" s="95"/>
    </row>
    <row r="115" ht="28.5" customHeight="1" spans="1:28">
      <c r="A115" s="95"/>
      <c r="B115" s="94"/>
      <c r="C115" s="95"/>
      <c r="D115" s="95"/>
      <c r="E115" s="95"/>
      <c r="F115" s="95"/>
      <c r="G115" s="95"/>
      <c r="H115" s="95"/>
      <c r="I115" s="17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175"/>
      <c r="AB115" s="95"/>
    </row>
  </sheetData>
  <mergeCells count="8">
    <mergeCell ref="A1:AA1"/>
    <mergeCell ref="A2:AA2"/>
    <mergeCell ref="C48:D48"/>
    <mergeCell ref="E48:O48"/>
    <mergeCell ref="C49:D49"/>
    <mergeCell ref="E49:O49"/>
    <mergeCell ref="P49:Z49"/>
    <mergeCell ref="AA49:AB49"/>
  </mergeCells>
  <printOptions horizontalCentered="1" gridLines="1"/>
  <pageMargins left="0.47244094488189" right="0" top="0.196850393700787" bottom="0.196850393700787" header="0" footer="0"/>
  <pageSetup paperSize="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C78"/>
  <sheetViews>
    <sheetView zoomScale="90" zoomScaleNormal="90" topLeftCell="A24" workbookViewId="0">
      <selection activeCell="AB31" sqref="AB31"/>
    </sheetView>
  </sheetViews>
  <sheetFormatPr defaultColWidth="14.4272727272727" defaultRowHeight="15" customHeight="1"/>
  <cols>
    <col min="1" max="1" width="5.57272727272727" style="98" customWidth="1"/>
    <col min="2" max="2" width="26.5727272727273" style="98" customWidth="1"/>
    <col min="3" max="3" width="17.7090909090909" style="98" customWidth="1"/>
    <col min="4" max="4" width="10.8545454545455" style="98" customWidth="1"/>
    <col min="5" max="5" width="12" style="98" customWidth="1"/>
    <col min="6" max="6" width="10.5727272727273" style="98" hidden="1" customWidth="1"/>
    <col min="7" max="7" width="9.57272727272727" style="98" hidden="1" customWidth="1"/>
    <col min="8" max="8" width="10.5727272727273" style="98" hidden="1" customWidth="1"/>
    <col min="9" max="9" width="6.42727272727273" style="98" customWidth="1"/>
    <col min="10" max="10" width="10.5727272727273" style="98" hidden="1" customWidth="1"/>
    <col min="11" max="11" width="10" style="98" hidden="1" customWidth="1"/>
    <col min="12" max="12" width="10.4272727272727" style="98" hidden="1" customWidth="1"/>
    <col min="13" max="13" width="7.13636363636364" style="98" hidden="1" customWidth="1"/>
    <col min="14" max="14" width="4.57272727272727" style="98" hidden="1" customWidth="1"/>
    <col min="15" max="15" width="9" style="98" customWidth="1"/>
    <col min="16" max="16" width="9.13636363636364" style="98" customWidth="1"/>
    <col min="17" max="17" width="4.57272727272727" style="98" hidden="1" customWidth="1"/>
    <col min="18" max="18" width="9" style="98" hidden="1" customWidth="1"/>
    <col min="19" max="19" width="10.5727272727273" style="98" hidden="1" customWidth="1"/>
    <col min="20" max="20" width="7" style="98" customWidth="1"/>
    <col min="21" max="21" width="7.42727272727273" style="98" hidden="1" customWidth="1"/>
    <col min="22" max="22" width="7.85454545454545" style="98" hidden="1" customWidth="1"/>
    <col min="23" max="23" width="8.13636363636364" style="98" hidden="1" customWidth="1"/>
    <col min="24" max="24" width="7.42727272727273" style="98" customWidth="1"/>
    <col min="25" max="25" width="10.5727272727273" style="98" customWidth="1"/>
    <col min="26" max="26" width="10.4272727272727" style="98" customWidth="1"/>
    <col min="27" max="27" width="19.1363636363636" style="98" customWidth="1"/>
    <col min="28" max="28" width="15" style="98" customWidth="1"/>
    <col min="29" max="16384" width="14.4272727272727" style="98"/>
  </cols>
  <sheetData>
    <row r="1" ht="21" customHeight="1" spans="1:2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6"/>
    </row>
    <row r="2" ht="21" customHeight="1" spans="1:28">
      <c r="A2" s="47" t="s">
        <v>148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9"/>
    </row>
    <row r="3" s="39" customFormat="1" ht="28.5" customHeight="1" spans="1:28">
      <c r="A3" s="50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50" t="s">
        <v>7</v>
      </c>
      <c r="G3" s="50" t="s">
        <v>8</v>
      </c>
      <c r="H3" s="50" t="s">
        <v>9</v>
      </c>
      <c r="I3" s="51" t="s">
        <v>10</v>
      </c>
      <c r="J3" s="50" t="s">
        <v>11</v>
      </c>
      <c r="K3" s="50" t="s">
        <v>12</v>
      </c>
      <c r="L3" s="50" t="s">
        <v>13</v>
      </c>
      <c r="M3" s="50" t="s">
        <v>14</v>
      </c>
      <c r="N3" s="50" t="s">
        <v>15</v>
      </c>
      <c r="O3" s="50" t="s">
        <v>17</v>
      </c>
      <c r="P3" s="50" t="s">
        <v>149</v>
      </c>
      <c r="Q3" s="50" t="s">
        <v>18</v>
      </c>
      <c r="R3" s="50" t="s">
        <v>150</v>
      </c>
      <c r="S3" s="50" t="s">
        <v>20</v>
      </c>
      <c r="T3" s="50" t="s">
        <v>21</v>
      </c>
      <c r="U3" s="50" t="s">
        <v>22</v>
      </c>
      <c r="V3" s="50" t="s">
        <v>23</v>
      </c>
      <c r="W3" s="50" t="s">
        <v>24</v>
      </c>
      <c r="X3" s="50" t="s">
        <v>151</v>
      </c>
      <c r="Y3" s="50" t="s">
        <v>26</v>
      </c>
      <c r="Z3" s="50" t="s">
        <v>27</v>
      </c>
      <c r="AA3" s="51" t="s">
        <v>28</v>
      </c>
      <c r="AB3" s="51" t="s">
        <v>29</v>
      </c>
    </row>
    <row r="4" customHeight="1" spans="1:28">
      <c r="A4" s="52"/>
      <c r="B4" s="53" t="s">
        <v>30</v>
      </c>
      <c r="C4" s="54"/>
      <c r="D4" s="52"/>
      <c r="E4" s="52"/>
      <c r="F4" s="52"/>
      <c r="G4" s="52"/>
      <c r="H4" s="52"/>
      <c r="I4" s="55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5"/>
      <c r="AB4" s="56"/>
    </row>
    <row r="5" customHeight="1" spans="1:28">
      <c r="A5" s="57"/>
      <c r="B5" s="53" t="s">
        <v>152</v>
      </c>
      <c r="C5" s="54"/>
      <c r="D5" s="52"/>
      <c r="E5" s="52"/>
      <c r="F5" s="52"/>
      <c r="G5" s="52"/>
      <c r="H5" s="52"/>
      <c r="I5" s="51">
        <v>31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5"/>
      <c r="AB5" s="56"/>
    </row>
    <row r="6" ht="28.5" customHeight="1" spans="1:28">
      <c r="A6" s="52">
        <v>1</v>
      </c>
      <c r="B6" s="64" t="s">
        <v>153</v>
      </c>
      <c r="C6" s="54" t="s">
        <v>154</v>
      </c>
      <c r="D6" s="52">
        <v>10000</v>
      </c>
      <c r="E6" s="52">
        <v>10000</v>
      </c>
      <c r="F6" s="52"/>
      <c r="G6" s="52"/>
      <c r="H6" s="52"/>
      <c r="I6" s="65">
        <v>31</v>
      </c>
      <c r="J6" s="52"/>
      <c r="K6" s="52"/>
      <c r="L6" s="52"/>
      <c r="M6" s="52"/>
      <c r="N6" s="52"/>
      <c r="O6" s="54">
        <f t="shared" ref="O6:O28" si="0">ROUNDUP(E6/I$5*I6+M6,0)</f>
        <v>10000</v>
      </c>
      <c r="P6" s="54"/>
      <c r="Q6" s="54"/>
      <c r="R6" s="54"/>
      <c r="S6" s="54"/>
      <c r="T6" s="54">
        <f t="shared" ref="T6:T28" si="1">IF(O6,IF(1,30),IF(1,0))</f>
        <v>30</v>
      </c>
      <c r="U6" s="54"/>
      <c r="V6" s="54"/>
      <c r="W6" s="54"/>
      <c r="X6" s="54"/>
      <c r="Y6" s="54">
        <f t="shared" ref="Y6:Y28" si="2">SUM(Q6:X6)</f>
        <v>30</v>
      </c>
      <c r="Z6" s="54">
        <f t="shared" ref="Z6:Z27" si="3">O6-Y6</f>
        <v>9970</v>
      </c>
      <c r="AA6" s="182" t="s">
        <v>155</v>
      </c>
      <c r="AB6" s="56" t="s">
        <v>35</v>
      </c>
    </row>
    <row r="7" ht="28.5" customHeight="1" spans="1:28">
      <c r="A7" s="52">
        <v>2</v>
      </c>
      <c r="B7" s="64" t="s">
        <v>156</v>
      </c>
      <c r="C7" s="54" t="s">
        <v>154</v>
      </c>
      <c r="D7" s="52">
        <v>10000</v>
      </c>
      <c r="E7" s="52">
        <v>10000</v>
      </c>
      <c r="F7" s="52"/>
      <c r="G7" s="52"/>
      <c r="H7" s="52"/>
      <c r="I7" s="65">
        <v>30</v>
      </c>
      <c r="J7" s="52"/>
      <c r="K7" s="52"/>
      <c r="L7" s="52"/>
      <c r="M7" s="52"/>
      <c r="N7" s="52"/>
      <c r="O7" s="54">
        <f t="shared" si="0"/>
        <v>9678</v>
      </c>
      <c r="P7" s="54"/>
      <c r="Q7" s="54"/>
      <c r="R7" s="54"/>
      <c r="S7" s="54"/>
      <c r="T7" s="54">
        <f t="shared" si="1"/>
        <v>30</v>
      </c>
      <c r="U7" s="54"/>
      <c r="V7" s="54"/>
      <c r="W7" s="54"/>
      <c r="X7" s="54"/>
      <c r="Y7" s="54">
        <f t="shared" si="2"/>
        <v>30</v>
      </c>
      <c r="Z7" s="54">
        <f t="shared" si="3"/>
        <v>9648</v>
      </c>
      <c r="AA7" s="182" t="s">
        <v>157</v>
      </c>
      <c r="AB7" s="56" t="s">
        <v>35</v>
      </c>
    </row>
    <row r="8" ht="28.5" customHeight="1" spans="1:28">
      <c r="A8" s="52">
        <v>3</v>
      </c>
      <c r="B8" s="64" t="s">
        <v>158</v>
      </c>
      <c r="C8" s="54" t="s">
        <v>154</v>
      </c>
      <c r="D8" s="52">
        <v>10000</v>
      </c>
      <c r="E8" s="52">
        <v>10000</v>
      </c>
      <c r="F8" s="52"/>
      <c r="G8" s="52"/>
      <c r="H8" s="52"/>
      <c r="I8" s="65">
        <v>31</v>
      </c>
      <c r="J8" s="52"/>
      <c r="K8" s="52"/>
      <c r="L8" s="52"/>
      <c r="M8" s="52"/>
      <c r="N8" s="52"/>
      <c r="O8" s="54">
        <f t="shared" si="0"/>
        <v>10000</v>
      </c>
      <c r="P8" s="54"/>
      <c r="Q8" s="54"/>
      <c r="R8" s="54"/>
      <c r="S8" s="54"/>
      <c r="T8" s="54">
        <f t="shared" si="1"/>
        <v>30</v>
      </c>
      <c r="U8" s="54"/>
      <c r="V8" s="54"/>
      <c r="W8" s="54"/>
      <c r="X8" s="54"/>
      <c r="Y8" s="54">
        <f t="shared" si="2"/>
        <v>30</v>
      </c>
      <c r="Z8" s="54">
        <f t="shared" si="3"/>
        <v>9970</v>
      </c>
      <c r="AA8" s="182" t="s">
        <v>159</v>
      </c>
      <c r="AB8" s="56" t="s">
        <v>35</v>
      </c>
    </row>
    <row r="9" ht="28.5" customHeight="1" spans="1:28">
      <c r="A9" s="52">
        <v>4</v>
      </c>
      <c r="B9" s="64" t="s">
        <v>160</v>
      </c>
      <c r="C9" s="54" t="s">
        <v>154</v>
      </c>
      <c r="D9" s="52">
        <v>10000</v>
      </c>
      <c r="E9" s="52">
        <v>10000</v>
      </c>
      <c r="F9" s="52"/>
      <c r="G9" s="52"/>
      <c r="H9" s="52"/>
      <c r="I9" s="65">
        <v>30</v>
      </c>
      <c r="J9" s="52"/>
      <c r="K9" s="52"/>
      <c r="L9" s="52"/>
      <c r="M9" s="52"/>
      <c r="N9" s="52"/>
      <c r="O9" s="54">
        <f t="shared" si="0"/>
        <v>9678</v>
      </c>
      <c r="P9" s="54"/>
      <c r="Q9" s="54"/>
      <c r="R9" s="54"/>
      <c r="S9" s="54"/>
      <c r="T9" s="54">
        <f t="shared" si="1"/>
        <v>30</v>
      </c>
      <c r="U9" s="54"/>
      <c r="V9" s="54"/>
      <c r="W9" s="54"/>
      <c r="X9" s="54"/>
      <c r="Y9" s="54">
        <f t="shared" si="2"/>
        <v>30</v>
      </c>
      <c r="Z9" s="54">
        <f t="shared" si="3"/>
        <v>9648</v>
      </c>
      <c r="AA9" s="182" t="s">
        <v>161</v>
      </c>
      <c r="AB9" s="56" t="s">
        <v>35</v>
      </c>
    </row>
    <row r="10" ht="28.5" customHeight="1" spans="1:28">
      <c r="A10" s="52">
        <v>5</v>
      </c>
      <c r="B10" s="64" t="s">
        <v>162</v>
      </c>
      <c r="C10" s="54" t="s">
        <v>154</v>
      </c>
      <c r="D10" s="52">
        <v>10000</v>
      </c>
      <c r="E10" s="52">
        <v>10000</v>
      </c>
      <c r="F10" s="52"/>
      <c r="G10" s="52"/>
      <c r="H10" s="52"/>
      <c r="I10" s="65">
        <v>30</v>
      </c>
      <c r="J10" s="52"/>
      <c r="K10" s="52"/>
      <c r="L10" s="52"/>
      <c r="M10" s="52"/>
      <c r="N10" s="52"/>
      <c r="O10" s="54">
        <f t="shared" si="0"/>
        <v>9678</v>
      </c>
      <c r="P10" s="54"/>
      <c r="Q10" s="54"/>
      <c r="R10" s="54"/>
      <c r="S10" s="54"/>
      <c r="T10" s="54">
        <f t="shared" si="1"/>
        <v>30</v>
      </c>
      <c r="U10" s="54"/>
      <c r="V10" s="54"/>
      <c r="W10" s="54"/>
      <c r="X10" s="54">
        <v>1000</v>
      </c>
      <c r="Y10" s="54">
        <f t="shared" si="2"/>
        <v>1030</v>
      </c>
      <c r="Z10" s="54">
        <f t="shared" si="3"/>
        <v>8648</v>
      </c>
      <c r="AA10" s="183" t="s">
        <v>163</v>
      </c>
      <c r="AB10" s="56" t="s">
        <v>35</v>
      </c>
    </row>
    <row r="11" ht="28.5" customHeight="1" spans="1:28">
      <c r="A11" s="52">
        <v>6</v>
      </c>
      <c r="B11" s="64" t="s">
        <v>164</v>
      </c>
      <c r="C11" s="54" t="s">
        <v>154</v>
      </c>
      <c r="D11" s="52">
        <v>10000</v>
      </c>
      <c r="E11" s="52">
        <v>10000</v>
      </c>
      <c r="F11" s="52"/>
      <c r="G11" s="52"/>
      <c r="H11" s="52"/>
      <c r="I11" s="65">
        <v>31</v>
      </c>
      <c r="J11" s="52"/>
      <c r="K11" s="52"/>
      <c r="L11" s="52"/>
      <c r="M11" s="52"/>
      <c r="N11" s="52"/>
      <c r="O11" s="54">
        <f t="shared" si="0"/>
        <v>10000</v>
      </c>
      <c r="P11" s="54"/>
      <c r="Q11" s="54"/>
      <c r="R11" s="54"/>
      <c r="S11" s="54"/>
      <c r="T11" s="54">
        <f t="shared" si="1"/>
        <v>30</v>
      </c>
      <c r="U11" s="54"/>
      <c r="V11" s="54"/>
      <c r="W11" s="54"/>
      <c r="X11" s="54"/>
      <c r="Y11" s="54">
        <f t="shared" si="2"/>
        <v>30</v>
      </c>
      <c r="Z11" s="54">
        <f t="shared" si="3"/>
        <v>9970</v>
      </c>
      <c r="AA11" s="182" t="s">
        <v>165</v>
      </c>
      <c r="AB11" s="56" t="s">
        <v>61</v>
      </c>
    </row>
    <row r="12" ht="28.5" customHeight="1" spans="1:28">
      <c r="A12" s="52">
        <v>7</v>
      </c>
      <c r="B12" s="64" t="s">
        <v>166</v>
      </c>
      <c r="C12" s="54" t="s">
        <v>154</v>
      </c>
      <c r="D12" s="52">
        <v>10000</v>
      </c>
      <c r="E12" s="52">
        <v>10000</v>
      </c>
      <c r="F12" s="52"/>
      <c r="G12" s="52"/>
      <c r="H12" s="52"/>
      <c r="I12" s="65">
        <v>27</v>
      </c>
      <c r="J12" s="52"/>
      <c r="K12" s="52"/>
      <c r="L12" s="52"/>
      <c r="M12" s="52"/>
      <c r="N12" s="52"/>
      <c r="O12" s="54">
        <f t="shared" si="0"/>
        <v>8710</v>
      </c>
      <c r="P12" s="54"/>
      <c r="Q12" s="54"/>
      <c r="R12" s="54"/>
      <c r="S12" s="54"/>
      <c r="T12" s="54">
        <f t="shared" si="1"/>
        <v>30</v>
      </c>
      <c r="U12" s="54"/>
      <c r="V12" s="54"/>
      <c r="W12" s="54"/>
      <c r="X12" s="54"/>
      <c r="Y12" s="54">
        <f t="shared" si="2"/>
        <v>30</v>
      </c>
      <c r="Z12" s="54">
        <f t="shared" si="3"/>
        <v>8680</v>
      </c>
      <c r="AA12" s="182" t="s">
        <v>167</v>
      </c>
      <c r="AB12" s="56" t="s">
        <v>35</v>
      </c>
    </row>
    <row r="13" ht="28.5" customHeight="1" spans="1:28">
      <c r="A13" s="52">
        <v>8</v>
      </c>
      <c r="B13" s="64" t="s">
        <v>168</v>
      </c>
      <c r="C13" s="54" t="s">
        <v>154</v>
      </c>
      <c r="D13" s="52">
        <v>10000</v>
      </c>
      <c r="E13" s="52">
        <v>10000</v>
      </c>
      <c r="F13" s="52"/>
      <c r="G13" s="52"/>
      <c r="H13" s="52"/>
      <c r="I13" s="65">
        <v>31</v>
      </c>
      <c r="J13" s="52"/>
      <c r="K13" s="52"/>
      <c r="L13" s="52"/>
      <c r="M13" s="52"/>
      <c r="N13" s="52"/>
      <c r="O13" s="54">
        <f t="shared" si="0"/>
        <v>10000</v>
      </c>
      <c r="P13" s="54"/>
      <c r="Q13" s="54"/>
      <c r="R13" s="54"/>
      <c r="S13" s="54"/>
      <c r="T13" s="54">
        <f t="shared" si="1"/>
        <v>30</v>
      </c>
      <c r="U13" s="54"/>
      <c r="V13" s="54"/>
      <c r="W13" s="54"/>
      <c r="X13" s="54"/>
      <c r="Y13" s="54">
        <f t="shared" si="2"/>
        <v>30</v>
      </c>
      <c r="Z13" s="54">
        <f t="shared" si="3"/>
        <v>9970</v>
      </c>
      <c r="AA13" s="182" t="s">
        <v>169</v>
      </c>
      <c r="AB13" s="56" t="s">
        <v>35</v>
      </c>
    </row>
    <row r="14" ht="28.5" customHeight="1" spans="1:28">
      <c r="A14" s="52">
        <v>9</v>
      </c>
      <c r="B14" s="64" t="s">
        <v>170</v>
      </c>
      <c r="C14" s="54" t="s">
        <v>154</v>
      </c>
      <c r="D14" s="52">
        <v>10000</v>
      </c>
      <c r="E14" s="52">
        <v>10000</v>
      </c>
      <c r="F14" s="52"/>
      <c r="G14" s="52"/>
      <c r="H14" s="52"/>
      <c r="I14" s="65">
        <v>29.5</v>
      </c>
      <c r="J14" s="52"/>
      <c r="K14" s="52"/>
      <c r="L14" s="52"/>
      <c r="M14" s="52"/>
      <c r="N14" s="52"/>
      <c r="O14" s="54">
        <f t="shared" si="0"/>
        <v>9517</v>
      </c>
      <c r="P14" s="54"/>
      <c r="Q14" s="54"/>
      <c r="R14" s="54"/>
      <c r="S14" s="54"/>
      <c r="T14" s="54">
        <f t="shared" si="1"/>
        <v>30</v>
      </c>
      <c r="U14" s="54"/>
      <c r="V14" s="54"/>
      <c r="W14" s="54"/>
      <c r="X14" s="54"/>
      <c r="Y14" s="54">
        <f t="shared" si="2"/>
        <v>30</v>
      </c>
      <c r="Z14" s="54">
        <f t="shared" si="3"/>
        <v>9487</v>
      </c>
      <c r="AA14" s="56" t="s">
        <v>171</v>
      </c>
      <c r="AB14" s="56" t="s">
        <v>61</v>
      </c>
    </row>
    <row r="15" ht="28.5" customHeight="1" spans="1:28">
      <c r="A15" s="52">
        <v>10</v>
      </c>
      <c r="B15" s="64" t="s">
        <v>172</v>
      </c>
      <c r="C15" s="54" t="s">
        <v>154</v>
      </c>
      <c r="D15" s="52">
        <v>9500</v>
      </c>
      <c r="E15" s="52">
        <v>9500</v>
      </c>
      <c r="F15" s="52"/>
      <c r="G15" s="52"/>
      <c r="H15" s="52"/>
      <c r="I15" s="65">
        <v>28</v>
      </c>
      <c r="J15" s="52"/>
      <c r="K15" s="52"/>
      <c r="L15" s="52"/>
      <c r="M15" s="52"/>
      <c r="N15" s="52"/>
      <c r="O15" s="54">
        <f t="shared" si="0"/>
        <v>8581</v>
      </c>
      <c r="P15" s="54"/>
      <c r="Q15" s="54"/>
      <c r="R15" s="54"/>
      <c r="S15" s="54"/>
      <c r="T15" s="54">
        <f t="shared" si="1"/>
        <v>30</v>
      </c>
      <c r="U15" s="54"/>
      <c r="V15" s="54"/>
      <c r="W15" s="54"/>
      <c r="X15" s="54"/>
      <c r="Y15" s="54">
        <f t="shared" si="2"/>
        <v>30</v>
      </c>
      <c r="Z15" s="54">
        <f t="shared" si="3"/>
        <v>8551</v>
      </c>
      <c r="AA15" s="56" t="s">
        <v>173</v>
      </c>
      <c r="AB15" s="56" t="s">
        <v>61</v>
      </c>
    </row>
    <row r="16" ht="28.5" customHeight="1" spans="1:28">
      <c r="A16" s="52">
        <v>11</v>
      </c>
      <c r="B16" s="64" t="s">
        <v>174</v>
      </c>
      <c r="C16" s="54" t="s">
        <v>154</v>
      </c>
      <c r="D16" s="52">
        <v>10000</v>
      </c>
      <c r="E16" s="52">
        <v>10000</v>
      </c>
      <c r="F16" s="52"/>
      <c r="G16" s="52"/>
      <c r="H16" s="52"/>
      <c r="I16" s="65">
        <v>28.5</v>
      </c>
      <c r="J16" s="52"/>
      <c r="K16" s="52"/>
      <c r="L16" s="52"/>
      <c r="M16" s="52"/>
      <c r="N16" s="52"/>
      <c r="O16" s="54">
        <f t="shared" si="0"/>
        <v>9194</v>
      </c>
      <c r="P16" s="54"/>
      <c r="Q16" s="54"/>
      <c r="R16" s="54"/>
      <c r="S16" s="54"/>
      <c r="T16" s="54">
        <f t="shared" si="1"/>
        <v>30</v>
      </c>
      <c r="U16" s="54"/>
      <c r="V16" s="54"/>
      <c r="W16" s="54"/>
      <c r="X16" s="54"/>
      <c r="Y16" s="54">
        <f t="shared" si="2"/>
        <v>30</v>
      </c>
      <c r="Z16" s="54">
        <f t="shared" si="3"/>
        <v>9164</v>
      </c>
      <c r="AA16" s="56" t="s">
        <v>175</v>
      </c>
      <c r="AB16" s="56" t="s">
        <v>61</v>
      </c>
    </row>
    <row r="17" ht="28.5" customHeight="1" spans="1:29">
      <c r="A17" s="52">
        <v>12</v>
      </c>
      <c r="B17" s="64" t="s">
        <v>176</v>
      </c>
      <c r="C17" s="54" t="s">
        <v>154</v>
      </c>
      <c r="D17" s="52">
        <v>9500</v>
      </c>
      <c r="E17" s="52">
        <v>9500</v>
      </c>
      <c r="F17" s="52"/>
      <c r="G17" s="52"/>
      <c r="H17" s="52"/>
      <c r="I17" s="65">
        <v>23.5</v>
      </c>
      <c r="J17" s="52"/>
      <c r="K17" s="52"/>
      <c r="L17" s="52"/>
      <c r="M17" s="52"/>
      <c r="N17" s="52"/>
      <c r="O17" s="54">
        <f t="shared" si="0"/>
        <v>7202</v>
      </c>
      <c r="P17" s="54"/>
      <c r="Q17" s="54"/>
      <c r="R17" s="54"/>
      <c r="S17" s="54"/>
      <c r="T17" s="54">
        <f t="shared" si="1"/>
        <v>30</v>
      </c>
      <c r="U17" s="54"/>
      <c r="V17" s="54"/>
      <c r="W17" s="54"/>
      <c r="X17" s="54"/>
      <c r="Y17" s="54">
        <f t="shared" si="2"/>
        <v>30</v>
      </c>
      <c r="Z17" s="54">
        <f t="shared" si="3"/>
        <v>7172</v>
      </c>
      <c r="AA17" s="56" t="s">
        <v>177</v>
      </c>
      <c r="AB17" s="56" t="s">
        <v>61</v>
      </c>
    </row>
    <row r="18" ht="28.5" customHeight="1" spans="1:29">
      <c r="A18" s="52">
        <v>13</v>
      </c>
      <c r="B18" s="64" t="s">
        <v>178</v>
      </c>
      <c r="C18" s="54" t="s">
        <v>154</v>
      </c>
      <c r="D18" s="52">
        <v>8000</v>
      </c>
      <c r="E18" s="52">
        <v>8000</v>
      </c>
      <c r="F18" s="52"/>
      <c r="G18" s="52"/>
      <c r="H18" s="52"/>
      <c r="I18" s="65">
        <v>27.5</v>
      </c>
      <c r="J18" s="52"/>
      <c r="K18" s="52"/>
      <c r="L18" s="52"/>
      <c r="M18" s="52"/>
      <c r="N18" s="52"/>
      <c r="O18" s="54">
        <f t="shared" si="0"/>
        <v>7097</v>
      </c>
      <c r="P18" s="54"/>
      <c r="Q18" s="54"/>
      <c r="R18" s="54"/>
      <c r="S18" s="54"/>
      <c r="T18" s="54">
        <f t="shared" si="1"/>
        <v>30</v>
      </c>
      <c r="U18" s="54"/>
      <c r="V18" s="54"/>
      <c r="W18" s="54"/>
      <c r="X18" s="54"/>
      <c r="Y18" s="54">
        <f t="shared" si="2"/>
        <v>30</v>
      </c>
      <c r="Z18" s="54">
        <f t="shared" si="3"/>
        <v>7067</v>
      </c>
      <c r="AA18" s="184" t="s">
        <v>179</v>
      </c>
      <c r="AB18" s="72" t="s">
        <v>180</v>
      </c>
    </row>
    <row r="19" ht="28.5" customHeight="1" spans="1:29">
      <c r="A19" s="52">
        <v>14</v>
      </c>
      <c r="B19" s="64" t="s">
        <v>181</v>
      </c>
      <c r="C19" s="54" t="s">
        <v>154</v>
      </c>
      <c r="D19" s="52">
        <v>10000</v>
      </c>
      <c r="E19" s="52">
        <v>10000</v>
      </c>
      <c r="F19" s="52"/>
      <c r="G19" s="52"/>
      <c r="H19" s="52"/>
      <c r="I19" s="65">
        <v>30</v>
      </c>
      <c r="J19" s="52"/>
      <c r="K19" s="52"/>
      <c r="L19" s="52"/>
      <c r="M19" s="52"/>
      <c r="N19" s="52"/>
      <c r="O19" s="54">
        <f t="shared" si="0"/>
        <v>9678</v>
      </c>
      <c r="P19" s="54"/>
      <c r="Q19" s="54"/>
      <c r="R19" s="54"/>
      <c r="S19" s="54"/>
      <c r="T19" s="54">
        <f t="shared" si="1"/>
        <v>30</v>
      </c>
      <c r="U19" s="54"/>
      <c r="V19" s="54"/>
      <c r="W19" s="54"/>
      <c r="X19" s="54"/>
      <c r="Y19" s="54">
        <f t="shared" si="2"/>
        <v>30</v>
      </c>
      <c r="Z19" s="54">
        <f t="shared" si="3"/>
        <v>9648</v>
      </c>
      <c r="AA19" s="183" t="s">
        <v>182</v>
      </c>
      <c r="AB19" s="71" t="s">
        <v>35</v>
      </c>
    </row>
    <row r="20" ht="28.5" customHeight="1" spans="1:29">
      <c r="A20" s="52">
        <v>15</v>
      </c>
      <c r="B20" s="64" t="s">
        <v>183</v>
      </c>
      <c r="C20" s="54" t="s">
        <v>154</v>
      </c>
      <c r="D20" s="52">
        <v>10000</v>
      </c>
      <c r="E20" s="52">
        <v>10000</v>
      </c>
      <c r="F20" s="52"/>
      <c r="G20" s="52"/>
      <c r="H20" s="52"/>
      <c r="I20" s="65">
        <v>30</v>
      </c>
      <c r="J20" s="52"/>
      <c r="K20" s="52"/>
      <c r="L20" s="52"/>
      <c r="M20" s="52"/>
      <c r="N20" s="52"/>
      <c r="O20" s="54">
        <f t="shared" si="0"/>
        <v>9678</v>
      </c>
      <c r="P20" s="54"/>
      <c r="Q20" s="54"/>
      <c r="R20" s="54"/>
      <c r="S20" s="54"/>
      <c r="T20" s="54">
        <f t="shared" si="1"/>
        <v>30</v>
      </c>
      <c r="U20" s="54"/>
      <c r="V20" s="54"/>
      <c r="W20" s="54"/>
      <c r="X20" s="54"/>
      <c r="Y20" s="54">
        <f t="shared" si="2"/>
        <v>30</v>
      </c>
      <c r="Z20" s="54">
        <f t="shared" si="3"/>
        <v>9648</v>
      </c>
      <c r="AA20" s="185" t="s">
        <v>184</v>
      </c>
      <c r="AB20" s="71" t="s">
        <v>35</v>
      </c>
    </row>
    <row r="21" ht="28.5" customHeight="1" spans="1:29">
      <c r="A21" s="52">
        <v>16</v>
      </c>
      <c r="B21" s="64" t="s">
        <v>185</v>
      </c>
      <c r="C21" s="54" t="s">
        <v>154</v>
      </c>
      <c r="D21" s="52">
        <v>8000</v>
      </c>
      <c r="E21" s="52">
        <v>8000</v>
      </c>
      <c r="F21" s="52"/>
      <c r="G21" s="52"/>
      <c r="H21" s="52"/>
      <c r="I21" s="65">
        <v>30</v>
      </c>
      <c r="J21" s="52"/>
      <c r="K21" s="52"/>
      <c r="L21" s="52"/>
      <c r="M21" s="52"/>
      <c r="N21" s="52"/>
      <c r="O21" s="54">
        <f t="shared" si="0"/>
        <v>7742</v>
      </c>
      <c r="P21" s="54"/>
      <c r="Q21" s="54"/>
      <c r="R21" s="54"/>
      <c r="S21" s="54"/>
      <c r="T21" s="54">
        <f t="shared" si="1"/>
        <v>30</v>
      </c>
      <c r="U21" s="54"/>
      <c r="V21" s="54"/>
      <c r="W21" s="54"/>
      <c r="X21" s="54"/>
      <c r="Y21" s="54">
        <f t="shared" si="2"/>
        <v>30</v>
      </c>
      <c r="Z21" s="54">
        <f t="shared" si="3"/>
        <v>7712</v>
      </c>
      <c r="AA21" s="184" t="s">
        <v>186</v>
      </c>
      <c r="AB21" s="72" t="s">
        <v>187</v>
      </c>
    </row>
    <row r="22" ht="28.5" customHeight="1" spans="1:29">
      <c r="A22" s="52">
        <v>17</v>
      </c>
      <c r="B22" s="64" t="s">
        <v>188</v>
      </c>
      <c r="C22" s="54" t="s">
        <v>154</v>
      </c>
      <c r="D22" s="52">
        <v>9000</v>
      </c>
      <c r="E22" s="52">
        <v>9000</v>
      </c>
      <c r="F22" s="52"/>
      <c r="G22" s="52"/>
      <c r="H22" s="52"/>
      <c r="I22" s="65">
        <v>30.5</v>
      </c>
      <c r="J22" s="52"/>
      <c r="K22" s="52"/>
      <c r="L22" s="52"/>
      <c r="M22" s="52"/>
      <c r="N22" s="52"/>
      <c r="O22" s="54">
        <f t="shared" si="0"/>
        <v>8855</v>
      </c>
      <c r="P22" s="54"/>
      <c r="Q22" s="54"/>
      <c r="R22" s="54"/>
      <c r="S22" s="54"/>
      <c r="T22" s="54">
        <f t="shared" si="1"/>
        <v>30</v>
      </c>
      <c r="U22" s="54"/>
      <c r="V22" s="54"/>
      <c r="W22" s="54"/>
      <c r="X22" s="54"/>
      <c r="Y22" s="54">
        <f t="shared" si="2"/>
        <v>30</v>
      </c>
      <c r="Z22" s="54">
        <f t="shared" si="3"/>
        <v>8825</v>
      </c>
      <c r="AA22" s="183" t="s">
        <v>189</v>
      </c>
      <c r="AB22" s="56" t="s">
        <v>190</v>
      </c>
    </row>
    <row r="23" ht="28.5" customHeight="1" spans="1:29">
      <c r="A23" s="52">
        <v>18</v>
      </c>
      <c r="B23" s="64" t="s">
        <v>191</v>
      </c>
      <c r="C23" s="54" t="s">
        <v>154</v>
      </c>
      <c r="D23" s="52">
        <v>8000</v>
      </c>
      <c r="E23" s="52">
        <v>8000</v>
      </c>
      <c r="F23" s="52"/>
      <c r="G23" s="52"/>
      <c r="H23" s="52"/>
      <c r="I23" s="65">
        <v>31</v>
      </c>
      <c r="J23" s="52"/>
      <c r="K23" s="52"/>
      <c r="L23" s="52"/>
      <c r="M23" s="52"/>
      <c r="N23" s="52"/>
      <c r="O23" s="54">
        <f t="shared" si="0"/>
        <v>8000</v>
      </c>
      <c r="P23" s="54"/>
      <c r="Q23" s="54"/>
      <c r="R23" s="54"/>
      <c r="S23" s="54"/>
      <c r="T23" s="54">
        <f t="shared" si="1"/>
        <v>30</v>
      </c>
      <c r="U23" s="54"/>
      <c r="V23" s="54"/>
      <c r="W23" s="54"/>
      <c r="X23" s="54"/>
      <c r="Y23" s="54">
        <f t="shared" si="2"/>
        <v>30</v>
      </c>
      <c r="Z23" s="54">
        <f t="shared" si="3"/>
        <v>7970</v>
      </c>
      <c r="AA23" s="183" t="s">
        <v>192</v>
      </c>
      <c r="AB23" s="56" t="s">
        <v>193</v>
      </c>
    </row>
    <row r="24" ht="28.5" customHeight="1" spans="1:29">
      <c r="A24" s="52">
        <v>19</v>
      </c>
      <c r="B24" s="64" t="s">
        <v>194</v>
      </c>
      <c r="C24" s="54" t="s">
        <v>154</v>
      </c>
      <c r="D24" s="52">
        <v>9000</v>
      </c>
      <c r="E24" s="52">
        <v>9000</v>
      </c>
      <c r="F24" s="52"/>
      <c r="G24" s="52"/>
      <c r="H24" s="52"/>
      <c r="I24" s="65">
        <v>29</v>
      </c>
      <c r="J24" s="52"/>
      <c r="K24" s="52"/>
      <c r="L24" s="52"/>
      <c r="M24" s="52"/>
      <c r="N24" s="52"/>
      <c r="O24" s="54">
        <f t="shared" si="0"/>
        <v>8420</v>
      </c>
      <c r="P24" s="54"/>
      <c r="Q24" s="54"/>
      <c r="R24" s="54"/>
      <c r="S24" s="54"/>
      <c r="T24" s="54">
        <f t="shared" si="1"/>
        <v>30</v>
      </c>
      <c r="U24" s="54"/>
      <c r="V24" s="54"/>
      <c r="W24" s="54"/>
      <c r="X24" s="54"/>
      <c r="Y24" s="54">
        <f t="shared" si="2"/>
        <v>30</v>
      </c>
      <c r="Z24" s="54">
        <f t="shared" si="3"/>
        <v>8390</v>
      </c>
      <c r="AA24" s="184" t="s">
        <v>195</v>
      </c>
      <c r="AB24" s="72" t="s">
        <v>78</v>
      </c>
    </row>
    <row r="25" s="144" customFormat="1" ht="28.5" customHeight="1" spans="1:29">
      <c r="A25" s="52">
        <v>20</v>
      </c>
      <c r="B25" s="64" t="s">
        <v>196</v>
      </c>
      <c r="C25" s="54" t="s">
        <v>154</v>
      </c>
      <c r="D25" s="52">
        <v>8000</v>
      </c>
      <c r="E25" s="52">
        <v>8000</v>
      </c>
      <c r="F25" s="52"/>
      <c r="G25" s="52"/>
      <c r="H25" s="52"/>
      <c r="I25" s="65">
        <v>11</v>
      </c>
      <c r="J25" s="52"/>
      <c r="K25" s="52"/>
      <c r="L25" s="52"/>
      <c r="M25" s="52"/>
      <c r="N25" s="52"/>
      <c r="O25" s="54">
        <f t="shared" si="0"/>
        <v>2839</v>
      </c>
      <c r="P25" s="54"/>
      <c r="Q25" s="54"/>
      <c r="R25" s="54"/>
      <c r="S25" s="54"/>
      <c r="T25" s="54">
        <f t="shared" si="1"/>
        <v>30</v>
      </c>
      <c r="U25" s="54"/>
      <c r="V25" s="54"/>
      <c r="W25" s="54"/>
      <c r="X25" s="54"/>
      <c r="Y25" s="54">
        <f t="shared" si="2"/>
        <v>30</v>
      </c>
      <c r="Z25" s="54">
        <f t="shared" si="3"/>
        <v>2809</v>
      </c>
      <c r="AA25" s="184" t="s">
        <v>197</v>
      </c>
      <c r="AB25" s="72" t="s">
        <v>198</v>
      </c>
      <c r="AC25" s="43" t="s">
        <v>199</v>
      </c>
    </row>
    <row r="26" ht="28.5" customHeight="1" spans="1:29">
      <c r="A26" s="52">
        <v>21</v>
      </c>
      <c r="B26" s="64" t="s">
        <v>200</v>
      </c>
      <c r="C26" s="54" t="s">
        <v>154</v>
      </c>
      <c r="D26" s="52">
        <v>9000</v>
      </c>
      <c r="E26" s="52">
        <v>9000</v>
      </c>
      <c r="F26" s="52"/>
      <c r="G26" s="52"/>
      <c r="H26" s="52"/>
      <c r="I26" s="65">
        <v>31</v>
      </c>
      <c r="J26" s="52"/>
      <c r="K26" s="52"/>
      <c r="L26" s="52"/>
      <c r="M26" s="52"/>
      <c r="N26" s="52"/>
      <c r="O26" s="54">
        <f t="shared" si="0"/>
        <v>9000</v>
      </c>
      <c r="P26" s="54"/>
      <c r="Q26" s="54"/>
      <c r="R26" s="54"/>
      <c r="S26" s="54"/>
      <c r="T26" s="54">
        <f t="shared" si="1"/>
        <v>30</v>
      </c>
      <c r="U26" s="54"/>
      <c r="V26" s="54"/>
      <c r="W26" s="54"/>
      <c r="X26" s="54"/>
      <c r="Y26" s="54">
        <f t="shared" si="2"/>
        <v>30</v>
      </c>
      <c r="Z26" s="54">
        <f t="shared" si="3"/>
        <v>8970</v>
      </c>
      <c r="AA26" s="146">
        <v>11507209100</v>
      </c>
      <c r="AB26" s="146" t="s">
        <v>58</v>
      </c>
    </row>
    <row r="27" ht="28.5" customHeight="1" spans="1:29">
      <c r="A27" s="52">
        <v>22</v>
      </c>
      <c r="B27" s="64" t="s">
        <v>201</v>
      </c>
      <c r="C27" s="54" t="s">
        <v>154</v>
      </c>
      <c r="D27" s="52">
        <v>8000</v>
      </c>
      <c r="E27" s="52">
        <v>8000</v>
      </c>
      <c r="F27" s="52"/>
      <c r="G27" s="52"/>
      <c r="H27" s="52"/>
      <c r="I27" s="65">
        <v>23</v>
      </c>
      <c r="J27" s="52"/>
      <c r="K27" s="52"/>
      <c r="L27" s="52"/>
      <c r="M27" s="52"/>
      <c r="N27" s="52"/>
      <c r="O27" s="54">
        <f t="shared" si="0"/>
        <v>5936</v>
      </c>
      <c r="P27" s="54"/>
      <c r="Q27" s="54"/>
      <c r="R27" s="54"/>
      <c r="S27" s="54"/>
      <c r="T27" s="54">
        <f t="shared" si="1"/>
        <v>30</v>
      </c>
      <c r="U27" s="54"/>
      <c r="V27" s="54"/>
      <c r="W27" s="54"/>
      <c r="X27" s="54"/>
      <c r="Y27" s="54">
        <f t="shared" si="2"/>
        <v>30</v>
      </c>
      <c r="Z27" s="54">
        <f t="shared" si="3"/>
        <v>5906</v>
      </c>
      <c r="AA27" s="186" t="s">
        <v>202</v>
      </c>
      <c r="AB27" s="146" t="s">
        <v>203</v>
      </c>
    </row>
    <row r="28" ht="28.5" customHeight="1" spans="1:29">
      <c r="A28" s="52">
        <v>23</v>
      </c>
      <c r="B28" s="64" t="s">
        <v>204</v>
      </c>
      <c r="C28" s="54" t="s">
        <v>154</v>
      </c>
      <c r="D28" s="52">
        <v>10000</v>
      </c>
      <c r="E28" s="52">
        <v>10000</v>
      </c>
      <c r="F28" s="52"/>
      <c r="G28" s="52"/>
      <c r="H28" s="52"/>
      <c r="I28" s="65">
        <v>27</v>
      </c>
      <c r="J28" s="52"/>
      <c r="K28" s="52"/>
      <c r="L28" s="52"/>
      <c r="M28" s="52"/>
      <c r="N28" s="52"/>
      <c r="O28" s="54">
        <f t="shared" si="0"/>
        <v>8710</v>
      </c>
      <c r="P28" s="54">
        <v>1000</v>
      </c>
      <c r="Q28" s="54"/>
      <c r="R28" s="54"/>
      <c r="S28" s="54"/>
      <c r="T28" s="54">
        <f t="shared" si="1"/>
        <v>30</v>
      </c>
      <c r="U28" s="54"/>
      <c r="V28" s="54"/>
      <c r="W28" s="54"/>
      <c r="X28" s="54"/>
      <c r="Y28" s="54">
        <f t="shared" si="2"/>
        <v>30</v>
      </c>
      <c r="Z28" s="54">
        <f>O28-Y28+P28</f>
        <v>9680</v>
      </c>
      <c r="AA28" s="186" t="s">
        <v>205</v>
      </c>
      <c r="AB28" s="146" t="s">
        <v>35</v>
      </c>
    </row>
    <row r="29" ht="28.5" customHeight="1" spans="1:29">
      <c r="A29" s="52"/>
      <c r="B29" s="80" t="s">
        <v>9</v>
      </c>
      <c r="C29" s="81"/>
      <c r="D29" s="57">
        <f>SUM(D6:D28)</f>
        <v>216000</v>
      </c>
      <c r="E29" s="57">
        <f>SUM(E6:E28)</f>
        <v>216000</v>
      </c>
      <c r="F29" s="57">
        <f>SUM(F6:F26)</f>
        <v>0</v>
      </c>
      <c r="G29" s="57">
        <f>SUM(G6:G26)</f>
        <v>0</v>
      </c>
      <c r="H29" s="57">
        <f>SUM(H6:H26)</f>
        <v>0</v>
      </c>
      <c r="I29" s="57"/>
      <c r="J29" s="57">
        <f>SUM(J6:J26)</f>
        <v>0</v>
      </c>
      <c r="K29" s="57">
        <f>SUM(K6:K26)</f>
        <v>0</v>
      </c>
      <c r="L29" s="57">
        <f>SUM(L6:L26)</f>
        <v>0</v>
      </c>
      <c r="M29" s="57">
        <f>SUM(M6:M26)</f>
        <v>0</v>
      </c>
      <c r="N29" s="57">
        <f>SUM(N6:N26)</f>
        <v>0</v>
      </c>
      <c r="O29" s="57">
        <f t="shared" ref="O29:Z29" si="4">SUM(O6:O28)</f>
        <v>198193</v>
      </c>
      <c r="P29" s="57">
        <f t="shared" si="4"/>
        <v>1000</v>
      </c>
      <c r="Q29" s="57">
        <f t="shared" si="4"/>
        <v>0</v>
      </c>
      <c r="R29" s="57">
        <f t="shared" si="4"/>
        <v>0</v>
      </c>
      <c r="S29" s="57">
        <f t="shared" si="4"/>
        <v>0</v>
      </c>
      <c r="T29" s="57">
        <f t="shared" si="4"/>
        <v>690</v>
      </c>
      <c r="U29" s="57">
        <f t="shared" si="4"/>
        <v>0</v>
      </c>
      <c r="V29" s="57">
        <f t="shared" si="4"/>
        <v>0</v>
      </c>
      <c r="W29" s="57">
        <f t="shared" si="4"/>
        <v>0</v>
      </c>
      <c r="X29" s="57">
        <f t="shared" si="4"/>
        <v>1000</v>
      </c>
      <c r="Y29" s="57">
        <f t="shared" si="4"/>
        <v>1690</v>
      </c>
      <c r="Z29" s="57">
        <f t="shared" si="4"/>
        <v>197503</v>
      </c>
      <c r="AA29" s="55"/>
      <c r="AB29" s="56"/>
    </row>
    <row r="30" ht="28.5" customHeight="1" spans="1:29">
      <c r="A30" s="82"/>
      <c r="B30" s="83"/>
      <c r="C30" s="84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6"/>
      <c r="AB30" s="39"/>
    </row>
    <row r="31" s="41" customFormat="1" ht="66" customHeight="1" spans="1:29">
      <c r="A31" s="88"/>
      <c r="B31" s="89" t="s">
        <v>141</v>
      </c>
      <c r="C31" s="89" t="s">
        <v>142</v>
      </c>
      <c r="D31" s="89"/>
      <c r="E31" s="89" t="s">
        <v>142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3"/>
    </row>
    <row r="32" s="42" customFormat="1" ht="28.5" customHeight="1" spans="1:29">
      <c r="A32" s="91"/>
      <c r="B32" s="92" t="s">
        <v>143</v>
      </c>
      <c r="C32" s="93" t="s">
        <v>144</v>
      </c>
      <c r="D32" s="93"/>
      <c r="E32" s="93" t="s">
        <v>145</v>
      </c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 t="s">
        <v>146</v>
      </c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 t="s">
        <v>147</v>
      </c>
      <c r="AB32" s="93"/>
      <c r="AC32" s="98"/>
    </row>
    <row r="33" ht="28.5" customHeight="1" spans="1:28">
      <c r="A33" s="39"/>
      <c r="B33" s="94"/>
      <c r="C33" s="95"/>
      <c r="D33" s="39"/>
      <c r="E33" s="39"/>
      <c r="F33" s="39"/>
      <c r="G33" s="39"/>
      <c r="H33" s="39"/>
      <c r="I33" s="86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86"/>
      <c r="AB33" s="39"/>
    </row>
    <row r="34" ht="28.5" customHeight="1" spans="1:28">
      <c r="A34" s="39"/>
      <c r="B34" s="94"/>
      <c r="C34" s="95"/>
      <c r="D34" s="39"/>
      <c r="E34" s="39"/>
      <c r="F34" s="39"/>
      <c r="G34" s="39"/>
      <c r="H34" s="39"/>
      <c r="I34" s="86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86"/>
      <c r="AB34" s="39"/>
    </row>
    <row r="35" ht="28.5" customHeight="1" spans="1:28">
      <c r="A35" s="39"/>
      <c r="B35" s="94"/>
      <c r="C35" s="95"/>
      <c r="D35" s="39"/>
      <c r="E35" s="39"/>
      <c r="F35" s="39"/>
      <c r="G35" s="39"/>
      <c r="H35" s="39"/>
      <c r="I35" s="86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86"/>
      <c r="AB35" s="39"/>
    </row>
    <row r="36" ht="28.5" customHeight="1" spans="1:28">
      <c r="A36" s="39"/>
      <c r="B36" s="94"/>
      <c r="C36" s="95"/>
      <c r="D36" s="39"/>
      <c r="E36" s="39"/>
      <c r="F36" s="39"/>
      <c r="G36" s="39"/>
      <c r="H36" s="39"/>
      <c r="I36" s="86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86"/>
      <c r="AB36" s="39"/>
    </row>
    <row r="37" ht="28.5" customHeight="1" spans="1:28">
      <c r="A37" s="39"/>
      <c r="B37" s="94"/>
      <c r="C37" s="95"/>
      <c r="D37" s="39"/>
      <c r="E37" s="39"/>
      <c r="F37" s="39"/>
      <c r="G37" s="39"/>
      <c r="H37" s="39"/>
      <c r="I37" s="86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86"/>
      <c r="AB37" s="39"/>
    </row>
    <row r="38" ht="28.5" customHeight="1" spans="1:28">
      <c r="A38" s="39"/>
      <c r="B38" s="94"/>
      <c r="C38" s="95"/>
      <c r="D38" s="39"/>
      <c r="E38" s="39"/>
      <c r="F38" s="39"/>
      <c r="G38" s="39"/>
      <c r="H38" s="39"/>
      <c r="I38" s="86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86"/>
      <c r="AB38" s="39"/>
    </row>
    <row r="39" ht="28.5" customHeight="1" spans="1:28">
      <c r="A39" s="39"/>
      <c r="B39" s="94"/>
      <c r="C39" s="95"/>
      <c r="D39" s="39"/>
      <c r="E39" s="39"/>
      <c r="F39" s="39"/>
      <c r="G39" s="39"/>
      <c r="H39" s="39"/>
      <c r="I39" s="86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86"/>
      <c r="AB39" s="39"/>
    </row>
    <row r="40" ht="28.5" customHeight="1" spans="1:28">
      <c r="A40" s="39"/>
      <c r="B40" s="94"/>
      <c r="C40" s="95"/>
      <c r="D40" s="39"/>
      <c r="E40" s="39"/>
      <c r="F40" s="39"/>
      <c r="G40" s="39"/>
      <c r="H40" s="39"/>
      <c r="I40" s="86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86"/>
      <c r="AB40" s="39"/>
    </row>
    <row r="41" ht="28.5" customHeight="1" spans="1:28">
      <c r="A41" s="39"/>
      <c r="B41" s="94"/>
      <c r="C41" s="95"/>
      <c r="D41" s="39"/>
      <c r="E41" s="39"/>
      <c r="F41" s="39"/>
      <c r="G41" s="39"/>
      <c r="H41" s="39"/>
      <c r="I41" s="86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86"/>
      <c r="AB41" s="39"/>
    </row>
    <row r="42" ht="28.5" customHeight="1" spans="1:28">
      <c r="A42" s="39"/>
      <c r="B42" s="94"/>
      <c r="C42" s="95"/>
      <c r="D42" s="39"/>
      <c r="E42" s="39"/>
      <c r="F42" s="39"/>
      <c r="G42" s="39"/>
      <c r="H42" s="39"/>
      <c r="I42" s="86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86"/>
      <c r="AB42" s="39"/>
    </row>
    <row r="43" ht="28.5" customHeight="1" spans="1:28">
      <c r="A43" s="39"/>
      <c r="B43" s="94"/>
      <c r="C43" s="95"/>
      <c r="D43" s="39"/>
      <c r="E43" s="39"/>
      <c r="F43" s="39"/>
      <c r="G43" s="39"/>
      <c r="H43" s="39"/>
      <c r="I43" s="86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86"/>
      <c r="AB43" s="39"/>
    </row>
    <row r="44" ht="28.5" customHeight="1" spans="1:28">
      <c r="A44" s="39"/>
      <c r="B44" s="94"/>
      <c r="C44" s="95"/>
      <c r="D44" s="39"/>
      <c r="E44" s="39"/>
      <c r="F44" s="39"/>
      <c r="G44" s="39"/>
      <c r="H44" s="39"/>
      <c r="I44" s="86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86"/>
      <c r="AB44" s="39"/>
    </row>
    <row r="45" ht="28.5" customHeight="1" spans="1:28">
      <c r="A45" s="39"/>
      <c r="B45" s="94"/>
      <c r="C45" s="95"/>
      <c r="D45" s="39"/>
      <c r="E45" s="39"/>
      <c r="F45" s="39"/>
      <c r="G45" s="39"/>
      <c r="H45" s="39"/>
      <c r="I45" s="86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86"/>
      <c r="AB45" s="39"/>
    </row>
    <row r="46" ht="28.5" customHeight="1" spans="1:28">
      <c r="A46" s="39"/>
      <c r="B46" s="94"/>
      <c r="C46" s="95"/>
      <c r="D46" s="39"/>
      <c r="E46" s="39"/>
      <c r="F46" s="39"/>
      <c r="G46" s="39"/>
      <c r="H46" s="39"/>
      <c r="I46" s="86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86"/>
      <c r="AB46" s="39"/>
    </row>
    <row r="47" ht="28.5" customHeight="1" spans="1:28">
      <c r="A47" s="39"/>
      <c r="B47" s="94"/>
      <c r="C47" s="95"/>
      <c r="D47" s="39"/>
      <c r="E47" s="39"/>
      <c r="F47" s="39"/>
      <c r="G47" s="39"/>
      <c r="H47" s="39"/>
      <c r="I47" s="86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86"/>
      <c r="AB47" s="39"/>
    </row>
    <row r="48" ht="28.5" customHeight="1" spans="1:28">
      <c r="A48" s="39"/>
      <c r="B48" s="94"/>
      <c r="C48" s="95"/>
      <c r="D48" s="39"/>
      <c r="E48" s="39"/>
      <c r="F48" s="39"/>
      <c r="G48" s="39"/>
      <c r="H48" s="39"/>
      <c r="I48" s="86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86"/>
      <c r="AB48" s="39"/>
    </row>
    <row r="49" ht="28.5" customHeight="1" spans="1:28">
      <c r="A49" s="39"/>
      <c r="B49" s="94"/>
      <c r="C49" s="95"/>
      <c r="D49" s="39"/>
      <c r="E49" s="39"/>
      <c r="F49" s="39"/>
      <c r="G49" s="39"/>
      <c r="H49" s="39"/>
      <c r="I49" s="86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86"/>
      <c r="AB49" s="39"/>
    </row>
    <row r="50" ht="28.5" customHeight="1" spans="1:28">
      <c r="A50" s="39"/>
      <c r="B50" s="94"/>
      <c r="C50" s="95"/>
      <c r="D50" s="39"/>
      <c r="E50" s="39"/>
      <c r="F50" s="39"/>
      <c r="G50" s="39"/>
      <c r="H50" s="39"/>
      <c r="I50" s="86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86"/>
      <c r="AB50" s="39"/>
    </row>
    <row r="51" ht="28.5" customHeight="1" spans="1:28">
      <c r="A51" s="39"/>
      <c r="B51" s="94"/>
      <c r="C51" s="95"/>
      <c r="D51" s="39"/>
      <c r="E51" s="39"/>
      <c r="F51" s="39"/>
      <c r="G51" s="39"/>
      <c r="H51" s="39"/>
      <c r="I51" s="86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86"/>
      <c r="AB51" s="39"/>
    </row>
    <row r="52" ht="28.5" customHeight="1" spans="1:28">
      <c r="A52" s="39"/>
      <c r="B52" s="94"/>
      <c r="C52" s="95"/>
      <c r="D52" s="39"/>
      <c r="E52" s="39"/>
      <c r="F52" s="39"/>
      <c r="G52" s="39"/>
      <c r="H52" s="39"/>
      <c r="I52" s="86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86"/>
      <c r="AB52" s="39"/>
    </row>
    <row r="53" ht="28.5" customHeight="1" spans="1:28">
      <c r="A53" s="39"/>
      <c r="B53" s="94"/>
      <c r="C53" s="95"/>
      <c r="D53" s="39"/>
      <c r="E53" s="39"/>
      <c r="F53" s="39"/>
      <c r="G53" s="39"/>
      <c r="H53" s="39"/>
      <c r="I53" s="86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86"/>
      <c r="AB53" s="39"/>
    </row>
    <row r="54" ht="28.5" customHeight="1" spans="1:28">
      <c r="A54" s="39"/>
      <c r="B54" s="94"/>
      <c r="C54" s="95"/>
      <c r="D54" s="39"/>
      <c r="E54" s="39"/>
      <c r="F54" s="39"/>
      <c r="G54" s="39"/>
      <c r="H54" s="39"/>
      <c r="I54" s="86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86"/>
      <c r="AB54" s="39"/>
    </row>
    <row r="55" ht="28.5" customHeight="1" spans="1:28">
      <c r="A55" s="39"/>
      <c r="B55" s="94"/>
      <c r="C55" s="95"/>
      <c r="D55" s="39"/>
      <c r="E55" s="39"/>
      <c r="F55" s="39"/>
      <c r="G55" s="39"/>
      <c r="H55" s="39"/>
      <c r="I55" s="86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86"/>
      <c r="AB55" s="39"/>
    </row>
    <row r="56" ht="28.5" customHeight="1" spans="1:28">
      <c r="A56" s="39"/>
      <c r="B56" s="94"/>
      <c r="C56" s="95"/>
      <c r="D56" s="39"/>
      <c r="E56" s="39"/>
      <c r="F56" s="39"/>
      <c r="G56" s="39"/>
      <c r="H56" s="39"/>
      <c r="I56" s="86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86"/>
      <c r="AB56" s="39"/>
    </row>
    <row r="57" ht="28.5" customHeight="1" spans="1:28">
      <c r="A57" s="39"/>
      <c r="B57" s="94"/>
      <c r="C57" s="95"/>
      <c r="D57" s="39"/>
      <c r="E57" s="39"/>
      <c r="F57" s="39"/>
      <c r="G57" s="39"/>
      <c r="H57" s="39"/>
      <c r="I57" s="86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86"/>
      <c r="AB57" s="39"/>
    </row>
    <row r="58" ht="28.5" customHeight="1" spans="1:28">
      <c r="A58" s="39"/>
      <c r="B58" s="94"/>
      <c r="C58" s="95"/>
      <c r="D58" s="39"/>
      <c r="E58" s="39"/>
      <c r="F58" s="39"/>
      <c r="G58" s="39"/>
      <c r="H58" s="39"/>
      <c r="I58" s="86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86"/>
      <c r="AB58" s="39"/>
    </row>
    <row r="59" ht="28.5" customHeight="1" spans="1:28">
      <c r="A59" s="39"/>
      <c r="B59" s="94"/>
      <c r="C59" s="95"/>
      <c r="D59" s="39"/>
      <c r="E59" s="39"/>
      <c r="F59" s="39"/>
      <c r="G59" s="39"/>
      <c r="H59" s="39"/>
      <c r="I59" s="86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86"/>
      <c r="AB59" s="39"/>
    </row>
    <row r="60" ht="28.5" customHeight="1" spans="1:28">
      <c r="A60" s="39"/>
      <c r="B60" s="94"/>
      <c r="C60" s="95"/>
      <c r="D60" s="39"/>
      <c r="E60" s="39"/>
      <c r="F60" s="39"/>
      <c r="G60" s="39"/>
      <c r="H60" s="39"/>
      <c r="I60" s="86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86"/>
      <c r="AB60" s="39"/>
    </row>
    <row r="61" ht="28.5" customHeight="1" spans="1:28">
      <c r="A61" s="39"/>
      <c r="B61" s="94"/>
      <c r="C61" s="95"/>
      <c r="D61" s="39"/>
      <c r="E61" s="39"/>
      <c r="F61" s="39"/>
      <c r="G61" s="39"/>
      <c r="H61" s="39"/>
      <c r="I61" s="86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86"/>
      <c r="AB61" s="39"/>
    </row>
    <row r="62" ht="28.5" customHeight="1" spans="1:28">
      <c r="A62" s="39"/>
      <c r="B62" s="94"/>
      <c r="C62" s="95"/>
      <c r="D62" s="39"/>
      <c r="E62" s="39"/>
      <c r="F62" s="39"/>
      <c r="G62" s="39"/>
      <c r="H62" s="39"/>
      <c r="I62" s="86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86"/>
      <c r="AB62" s="39"/>
    </row>
    <row r="63" ht="28.5" customHeight="1" spans="1:28">
      <c r="A63" s="39"/>
      <c r="B63" s="94"/>
      <c r="C63" s="95"/>
      <c r="D63" s="39"/>
      <c r="E63" s="39"/>
      <c r="F63" s="39"/>
      <c r="G63" s="39"/>
      <c r="H63" s="39"/>
      <c r="I63" s="86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86"/>
      <c r="AB63" s="39"/>
    </row>
    <row r="64" ht="28.5" customHeight="1" spans="1:28">
      <c r="A64" s="39"/>
      <c r="B64" s="94"/>
      <c r="C64" s="95"/>
      <c r="D64" s="39"/>
      <c r="E64" s="39"/>
      <c r="F64" s="39"/>
      <c r="G64" s="39"/>
      <c r="H64" s="39"/>
      <c r="I64" s="86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86"/>
      <c r="AB64" s="39"/>
    </row>
    <row r="65" ht="28.5" customHeight="1" spans="1:28">
      <c r="A65" s="39"/>
      <c r="B65" s="94"/>
      <c r="C65" s="95"/>
      <c r="D65" s="39"/>
      <c r="E65" s="39"/>
      <c r="F65" s="39"/>
      <c r="G65" s="39"/>
      <c r="H65" s="39"/>
      <c r="I65" s="86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86"/>
      <c r="AB65" s="39"/>
    </row>
    <row r="66" ht="28.5" customHeight="1" spans="1:28">
      <c r="A66" s="39"/>
      <c r="B66" s="94"/>
      <c r="C66" s="95"/>
      <c r="D66" s="39"/>
      <c r="E66" s="39"/>
      <c r="F66" s="39"/>
      <c r="G66" s="39"/>
      <c r="H66" s="39"/>
      <c r="I66" s="86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86"/>
      <c r="AB66" s="39"/>
    </row>
    <row r="67" ht="28.5" customHeight="1" spans="1:28">
      <c r="A67" s="39"/>
      <c r="B67" s="94"/>
      <c r="C67" s="95"/>
      <c r="D67" s="39"/>
      <c r="E67" s="39"/>
      <c r="F67" s="39"/>
      <c r="G67" s="39"/>
      <c r="H67" s="39"/>
      <c r="I67" s="86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86"/>
      <c r="AB67" s="39"/>
    </row>
    <row r="68" ht="28.5" customHeight="1" spans="1:28">
      <c r="A68" s="39"/>
      <c r="B68" s="94"/>
      <c r="C68" s="95"/>
      <c r="D68" s="39"/>
      <c r="E68" s="39"/>
      <c r="F68" s="39"/>
      <c r="G68" s="39"/>
      <c r="H68" s="39"/>
      <c r="I68" s="86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86"/>
      <c r="AB68" s="39"/>
    </row>
    <row r="69" ht="28.5" customHeight="1" spans="1:28">
      <c r="A69" s="39"/>
      <c r="B69" s="94"/>
      <c r="C69" s="95"/>
      <c r="D69" s="39"/>
      <c r="E69" s="39"/>
      <c r="F69" s="39"/>
      <c r="G69" s="39"/>
      <c r="H69" s="39"/>
      <c r="I69" s="86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86"/>
      <c r="AB69" s="39"/>
    </row>
    <row r="70" ht="28.5" customHeight="1" spans="1:28">
      <c r="A70" s="39"/>
      <c r="B70" s="94"/>
      <c r="C70" s="95"/>
      <c r="D70" s="39"/>
      <c r="E70" s="39"/>
      <c r="F70" s="39"/>
      <c r="G70" s="39"/>
      <c r="H70" s="39"/>
      <c r="I70" s="86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86"/>
      <c r="AB70" s="39"/>
    </row>
    <row r="71" ht="28.5" customHeight="1" spans="1:28">
      <c r="A71" s="39"/>
      <c r="B71" s="94"/>
      <c r="C71" s="95"/>
      <c r="D71" s="39"/>
      <c r="E71" s="39"/>
      <c r="F71" s="39"/>
      <c r="G71" s="39"/>
      <c r="H71" s="39"/>
      <c r="I71" s="86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86"/>
      <c r="AB71" s="39"/>
    </row>
    <row r="72" ht="28.5" customHeight="1" spans="1:28">
      <c r="A72" s="39"/>
      <c r="B72" s="94"/>
      <c r="C72" s="95"/>
      <c r="D72" s="39"/>
      <c r="E72" s="39"/>
      <c r="F72" s="39"/>
      <c r="G72" s="39"/>
      <c r="H72" s="39"/>
      <c r="I72" s="86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86"/>
      <c r="AB72" s="39"/>
    </row>
    <row r="73" ht="28.5" customHeight="1" spans="1:28">
      <c r="A73" s="39"/>
      <c r="B73" s="94"/>
      <c r="C73" s="95"/>
      <c r="D73" s="39"/>
      <c r="E73" s="39"/>
      <c r="F73" s="39"/>
      <c r="G73" s="39"/>
      <c r="H73" s="39"/>
      <c r="I73" s="86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86"/>
      <c r="AB73" s="39"/>
    </row>
    <row r="74" ht="28.5" customHeight="1" spans="1:28">
      <c r="A74" s="39"/>
      <c r="B74" s="94"/>
      <c r="C74" s="95"/>
      <c r="D74" s="39"/>
      <c r="E74" s="39"/>
      <c r="F74" s="39"/>
      <c r="G74" s="39"/>
      <c r="H74" s="39"/>
      <c r="I74" s="86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86"/>
      <c r="AB74" s="39"/>
    </row>
    <row r="75" ht="28.5" customHeight="1" spans="1:28">
      <c r="A75" s="39"/>
      <c r="B75" s="94"/>
      <c r="C75" s="95"/>
      <c r="D75" s="39"/>
      <c r="E75" s="39"/>
      <c r="F75" s="39"/>
      <c r="G75" s="39"/>
      <c r="H75" s="39"/>
      <c r="I75" s="86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86"/>
      <c r="AB75" s="39"/>
    </row>
    <row r="76" ht="28.5" customHeight="1" spans="1:28">
      <c r="A76" s="39"/>
      <c r="B76" s="94"/>
      <c r="C76" s="95"/>
      <c r="D76" s="39"/>
      <c r="E76" s="39"/>
      <c r="F76" s="39"/>
      <c r="G76" s="39"/>
      <c r="H76" s="39"/>
      <c r="I76" s="86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86"/>
      <c r="AB76" s="39"/>
    </row>
    <row r="77" ht="28.5" customHeight="1" spans="1:28">
      <c r="A77" s="39"/>
      <c r="B77" s="94"/>
      <c r="C77" s="95"/>
      <c r="D77" s="39"/>
      <c r="E77" s="39"/>
      <c r="F77" s="39"/>
      <c r="G77" s="39"/>
      <c r="H77" s="39"/>
      <c r="I77" s="86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86"/>
      <c r="AB77" s="39"/>
    </row>
    <row r="78" ht="28.5" customHeight="1" spans="1:28">
      <c r="A78" s="39"/>
      <c r="B78" s="94"/>
      <c r="C78" s="95"/>
      <c r="D78" s="39"/>
      <c r="E78" s="39"/>
      <c r="F78" s="39"/>
      <c r="G78" s="39"/>
      <c r="H78" s="39"/>
      <c r="I78" s="86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86"/>
      <c r="AB78" s="39"/>
    </row>
  </sheetData>
  <mergeCells count="8">
    <mergeCell ref="A1:AB1"/>
    <mergeCell ref="A2:AB2"/>
    <mergeCell ref="C31:D31"/>
    <mergeCell ref="E31:O31"/>
    <mergeCell ref="C32:D32"/>
    <mergeCell ref="E32:O32"/>
    <mergeCell ref="P32:Z32"/>
    <mergeCell ref="AA32:AB32"/>
  </mergeCells>
  <conditionalFormatting sqref="AA20">
    <cfRule type="duplicateValues" dxfId="0" priority="1"/>
  </conditionalFormatting>
  <printOptions horizontalCentered="1" gridLines="1"/>
  <pageMargins left="0.354330708661417" right="0" top="0.196850393700787" bottom="0.196850393700787" header="0" footer="0"/>
  <pageSetup paperSize="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C85"/>
  <sheetViews>
    <sheetView zoomScale="80" zoomScaleNormal="80" workbookViewId="0">
      <pane ySplit="1" topLeftCell="A21" activePane="bottomLeft" state="frozen"/>
      <selection/>
      <selection pane="bottomLeft" activeCell="AD27" sqref="AD27"/>
    </sheetView>
  </sheetViews>
  <sheetFormatPr defaultColWidth="14.4272727272727" defaultRowHeight="15" customHeight="1"/>
  <cols>
    <col min="1" max="1" width="5.85454545454545" style="97" customWidth="1"/>
    <col min="2" max="2" width="22.5727272727273" style="98" customWidth="1"/>
    <col min="3" max="3" width="15" style="98" customWidth="1"/>
    <col min="4" max="4" width="21.4272727272727" style="98" customWidth="1"/>
    <col min="5" max="5" width="9.42727272727273" style="98" customWidth="1"/>
    <col min="6" max="6" width="11.4272727272727" style="98" customWidth="1"/>
    <col min="7" max="7" width="10.5727272727273" style="98" hidden="1" customWidth="1"/>
    <col min="8" max="8" width="9.57272727272727" style="98" hidden="1" customWidth="1"/>
    <col min="9" max="9" width="10.5727272727273" style="98" hidden="1" customWidth="1"/>
    <col min="10" max="10" width="9.57272727272727" style="99" customWidth="1"/>
    <col min="11" max="11" width="10.5727272727273" style="98" hidden="1" customWidth="1"/>
    <col min="12" max="12" width="10" style="98" hidden="1" customWidth="1"/>
    <col min="13" max="13" width="10.4272727272727" style="98" hidden="1" customWidth="1"/>
    <col min="14" max="14" width="6.85454545454545" style="98" hidden="1" customWidth="1"/>
    <col min="15" max="15" width="4.57272727272727" style="98" hidden="1" customWidth="1"/>
    <col min="16" max="16" width="5.57272727272727" style="98" hidden="1" customWidth="1"/>
    <col min="17" max="17" width="9.85454545454546" style="98" customWidth="1"/>
    <col min="18" max="18" width="9.57272727272727" style="98" hidden="1" customWidth="1"/>
    <col min="19" max="19" width="9" style="98" hidden="1" customWidth="1"/>
    <col min="20" max="20" width="5.57272727272727" style="98" hidden="1" customWidth="1"/>
    <col min="21" max="21" width="5.13636363636364" style="98" customWidth="1"/>
    <col min="22" max="23" width="4.57272727272727" style="98" hidden="1" customWidth="1"/>
    <col min="24" max="24" width="5" style="98" hidden="1" customWidth="1"/>
    <col min="25" max="26" width="6.85454545454545" style="98" customWidth="1"/>
    <col min="27" max="27" width="9.42727272727273" style="97" customWidth="1"/>
    <col min="28" max="28" width="18.4272727272727" style="98" customWidth="1"/>
    <col min="29" max="29" width="14.2818181818182" style="98" customWidth="1"/>
    <col min="30" max="31" width="11.1363636363636" style="98" customWidth="1"/>
    <col min="32" max="16384" width="14.4272727272727" style="98"/>
  </cols>
  <sheetData>
    <row r="1" ht="14.5" spans="1:29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6"/>
    </row>
    <row r="2" ht="14.5" spans="1:29">
      <c r="A2" s="47" t="s">
        <v>206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9"/>
    </row>
    <row r="3" ht="29.25" customHeight="1" spans="1:29">
      <c r="A3" s="50" t="s">
        <v>2</v>
      </c>
      <c r="B3" s="100" t="s">
        <v>3</v>
      </c>
      <c r="C3" s="50" t="s">
        <v>4</v>
      </c>
      <c r="D3" s="50"/>
      <c r="E3" s="50" t="s">
        <v>5</v>
      </c>
      <c r="F3" s="50" t="s">
        <v>6</v>
      </c>
      <c r="G3" s="50" t="s">
        <v>7</v>
      </c>
      <c r="H3" s="50" t="s">
        <v>8</v>
      </c>
      <c r="I3" s="50" t="s">
        <v>9</v>
      </c>
      <c r="J3" s="101" t="s">
        <v>207</v>
      </c>
      <c r="K3" s="50" t="s">
        <v>11</v>
      </c>
      <c r="L3" s="50" t="s">
        <v>12</v>
      </c>
      <c r="M3" s="50" t="s">
        <v>13</v>
      </c>
      <c r="N3" s="50" t="s">
        <v>14</v>
      </c>
      <c r="O3" s="50" t="s">
        <v>15</v>
      </c>
      <c r="P3" s="50" t="s">
        <v>16</v>
      </c>
      <c r="Q3" s="50" t="s">
        <v>17</v>
      </c>
      <c r="R3" s="50" t="s">
        <v>18</v>
      </c>
      <c r="S3" s="50" t="s">
        <v>208</v>
      </c>
      <c r="T3" s="50" t="s">
        <v>150</v>
      </c>
      <c r="U3" s="50" t="s">
        <v>21</v>
      </c>
      <c r="V3" s="50" t="s">
        <v>22</v>
      </c>
      <c r="W3" s="50" t="s">
        <v>23</v>
      </c>
      <c r="X3" s="50" t="s">
        <v>24</v>
      </c>
      <c r="Y3" s="50" t="s">
        <v>151</v>
      </c>
      <c r="Z3" s="50" t="s">
        <v>26</v>
      </c>
      <c r="AA3" s="50" t="s">
        <v>209</v>
      </c>
      <c r="AB3" s="51" t="s">
        <v>210</v>
      </c>
      <c r="AC3" s="51" t="s">
        <v>29</v>
      </c>
    </row>
    <row r="4" ht="14.5" spans="1:29">
      <c r="A4" s="52"/>
      <c r="B4" s="102" t="s">
        <v>30</v>
      </c>
      <c r="C4" s="54"/>
      <c r="D4" s="54"/>
      <c r="E4" s="52"/>
      <c r="F4" s="52"/>
      <c r="G4" s="52"/>
      <c r="H4" s="52"/>
      <c r="I4" s="52"/>
      <c r="J4" s="103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5"/>
      <c r="AC4" s="56"/>
    </row>
    <row r="5" ht="14.5" spans="1:29">
      <c r="A5" s="52"/>
      <c r="B5" s="102" t="s">
        <v>211</v>
      </c>
      <c r="C5" s="81"/>
      <c r="D5" s="81"/>
      <c r="E5" s="57"/>
      <c r="F5" s="57"/>
      <c r="G5" s="57"/>
      <c r="H5" s="57"/>
      <c r="I5" s="57"/>
      <c r="J5" s="101">
        <v>31</v>
      </c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81"/>
      <c r="AA5" s="81"/>
      <c r="AB5" s="55"/>
      <c r="AC5" s="56"/>
    </row>
    <row r="6" ht="21.75" customHeight="1" spans="1:29">
      <c r="A6" s="104">
        <v>1</v>
      </c>
      <c r="B6" s="104" t="s">
        <v>212</v>
      </c>
      <c r="C6" s="105" t="s">
        <v>213</v>
      </c>
      <c r="D6" s="105" t="s">
        <v>214</v>
      </c>
      <c r="E6" s="106">
        <v>12000</v>
      </c>
      <c r="F6" s="106">
        <v>12000</v>
      </c>
      <c r="G6" s="106"/>
      <c r="H6" s="106"/>
      <c r="I6" s="106"/>
      <c r="J6" s="107">
        <v>31</v>
      </c>
      <c r="K6" s="106"/>
      <c r="L6" s="106"/>
      <c r="M6" s="106"/>
      <c r="N6" s="106"/>
      <c r="O6" s="106"/>
      <c r="P6" s="106"/>
      <c r="Q6" s="106">
        <f>ROUNDUP(F6/$J$5*J6+N6,0)</f>
        <v>12000</v>
      </c>
      <c r="R6" s="105"/>
      <c r="S6" s="106"/>
      <c r="T6" s="105">
        <f>IF(Q6&gt;20001,200,IF(Q6&gt;15001,150,IF(Q6&lt;15000,0,)))</f>
        <v>0</v>
      </c>
      <c r="U6" s="105">
        <f>IF(Q6,IF(1,30),IF(1,0))</f>
        <v>30</v>
      </c>
      <c r="V6" s="105"/>
      <c r="W6" s="106"/>
      <c r="X6" s="106"/>
      <c r="Y6" s="106"/>
      <c r="Z6" s="106">
        <f>ROUNDUP(R6+S6+T6+U6+W6+X6+Y6,0)</f>
        <v>30</v>
      </c>
      <c r="AA6" s="106">
        <f>Q6-Z6</f>
        <v>11970</v>
      </c>
      <c r="AB6" s="108" t="s">
        <v>215</v>
      </c>
      <c r="AC6" s="108" t="s">
        <v>61</v>
      </c>
    </row>
    <row r="7" ht="21.75" customHeight="1" spans="1:29">
      <c r="A7" s="109">
        <v>2</v>
      </c>
      <c r="B7" s="110" t="s">
        <v>216</v>
      </c>
      <c r="C7" s="111" t="s">
        <v>213</v>
      </c>
      <c r="D7" s="111" t="s">
        <v>217</v>
      </c>
      <c r="E7" s="109">
        <v>17000</v>
      </c>
      <c r="F7" s="109">
        <v>17000</v>
      </c>
      <c r="G7" s="109"/>
      <c r="H7" s="109"/>
      <c r="I7" s="109"/>
      <c r="J7" s="107">
        <v>30.5</v>
      </c>
      <c r="K7" s="109"/>
      <c r="L7" s="109"/>
      <c r="M7" s="109"/>
      <c r="N7" s="109"/>
      <c r="O7" s="109"/>
      <c r="P7" s="109"/>
      <c r="Q7" s="109">
        <f t="shared" ref="Q7" si="0">ROUNDUP(F7/$J$5*J7+N7,0)</f>
        <v>16726</v>
      </c>
      <c r="R7" s="111"/>
      <c r="S7" s="109"/>
      <c r="T7" s="111">
        <f t="shared" ref="T7" si="1">IF(Q7&gt;20001,200,IF(Q7&gt;15001,150,IF(Q7&lt;15000,0,)))</f>
        <v>150</v>
      </c>
      <c r="U7" s="111">
        <f t="shared" ref="U7" si="2">IF(Q7,IF(1,30),IF(1,0))</f>
        <v>30</v>
      </c>
      <c r="V7" s="111"/>
      <c r="W7" s="109"/>
      <c r="X7" s="109"/>
      <c r="Y7" s="109">
        <v>1666</v>
      </c>
      <c r="Z7" s="109">
        <f t="shared" ref="Z7" si="3">ROUNDUP(R7+S7+T7+U7+W7+X7+Y7,0)</f>
        <v>1846</v>
      </c>
      <c r="AA7" s="109">
        <f t="shared" ref="AA7" si="4">Q7-Z7</f>
        <v>14880</v>
      </c>
      <c r="AB7" s="187" t="s">
        <v>218</v>
      </c>
      <c r="AC7" s="112" t="s">
        <v>219</v>
      </c>
    </row>
    <row r="8" s="96" customFormat="1" ht="21.75" customHeight="1" spans="1:29">
      <c r="A8" s="104">
        <v>3</v>
      </c>
      <c r="B8" s="113" t="s">
        <v>220</v>
      </c>
      <c r="C8" s="114" t="s">
        <v>221</v>
      </c>
      <c r="D8" s="114" t="s">
        <v>222</v>
      </c>
      <c r="E8" s="115">
        <v>9000</v>
      </c>
      <c r="F8" s="115">
        <v>9000</v>
      </c>
      <c r="G8" s="115"/>
      <c r="H8" s="115"/>
      <c r="I8" s="115"/>
      <c r="J8" s="107">
        <v>30.5</v>
      </c>
      <c r="K8" s="115"/>
      <c r="L8" s="115"/>
      <c r="M8" s="115"/>
      <c r="N8" s="115"/>
      <c r="O8" s="115"/>
      <c r="P8" s="115"/>
      <c r="Q8" s="115">
        <f t="shared" ref="Q8:Q10" si="5">ROUNDUP(F8/$J$5*J8+N8,0)</f>
        <v>8855</v>
      </c>
      <c r="R8" s="114"/>
      <c r="S8" s="115"/>
      <c r="T8" s="114">
        <f t="shared" ref="T8:T10" si="6">IF(Q8&gt;20001,200,IF(Q8&gt;15001,150,IF(Q8&lt;15000,0,)))</f>
        <v>0</v>
      </c>
      <c r="U8" s="114">
        <f t="shared" ref="U8:U10" si="7">IF(Q8,IF(1,30),IF(1,0))</f>
        <v>30</v>
      </c>
      <c r="V8" s="114"/>
      <c r="W8" s="115"/>
      <c r="X8" s="115"/>
      <c r="Y8" s="115"/>
      <c r="Z8" s="115">
        <f t="shared" ref="Z8:Z10" si="8">ROUNDUP(R8+S8+T8+U8+W8+X8+Y8,0)</f>
        <v>30</v>
      </c>
      <c r="AA8" s="115">
        <f t="shared" ref="AA8:AA10" si="9">Q8-Z8</f>
        <v>8825</v>
      </c>
      <c r="AB8" s="188" t="s">
        <v>223</v>
      </c>
      <c r="AC8" s="112" t="s">
        <v>64</v>
      </c>
    </row>
    <row r="9" ht="21.75" customHeight="1" spans="1:29">
      <c r="A9" s="104">
        <v>4</v>
      </c>
      <c r="B9" s="110" t="s">
        <v>224</v>
      </c>
      <c r="C9" s="111" t="s">
        <v>225</v>
      </c>
      <c r="D9" s="111" t="s">
        <v>226</v>
      </c>
      <c r="E9" s="117">
        <v>9000</v>
      </c>
      <c r="F9" s="117">
        <v>9000</v>
      </c>
      <c r="G9" s="109"/>
      <c r="H9" s="109"/>
      <c r="I9" s="109"/>
      <c r="J9" s="107">
        <v>31</v>
      </c>
      <c r="K9" s="109"/>
      <c r="L9" s="109"/>
      <c r="M9" s="109"/>
      <c r="N9" s="109"/>
      <c r="O9" s="109"/>
      <c r="P9" s="109"/>
      <c r="Q9" s="109">
        <f t="shared" si="5"/>
        <v>9000</v>
      </c>
      <c r="R9" s="109"/>
      <c r="S9" s="109"/>
      <c r="T9" s="111">
        <f t="shared" si="6"/>
        <v>0</v>
      </c>
      <c r="U9" s="111">
        <f t="shared" si="7"/>
        <v>30</v>
      </c>
      <c r="V9" s="111"/>
      <c r="W9" s="109"/>
      <c r="X9" s="109"/>
      <c r="Y9" s="109"/>
      <c r="Z9" s="109">
        <f t="shared" si="8"/>
        <v>30</v>
      </c>
      <c r="AA9" s="109">
        <f t="shared" si="9"/>
        <v>8970</v>
      </c>
      <c r="AB9" s="189" t="s">
        <v>227</v>
      </c>
      <c r="AC9" s="112" t="s">
        <v>35</v>
      </c>
    </row>
    <row r="10" ht="21.75" customHeight="1" spans="1:29">
      <c r="A10" s="109">
        <v>5</v>
      </c>
      <c r="B10" s="110" t="s">
        <v>228</v>
      </c>
      <c r="C10" s="111" t="s">
        <v>225</v>
      </c>
      <c r="D10" s="111" t="s">
        <v>222</v>
      </c>
      <c r="E10" s="117">
        <v>9000</v>
      </c>
      <c r="F10" s="117">
        <v>9000</v>
      </c>
      <c r="G10" s="109"/>
      <c r="H10" s="109"/>
      <c r="I10" s="109"/>
      <c r="J10" s="107">
        <v>28</v>
      </c>
      <c r="K10" s="109"/>
      <c r="L10" s="109"/>
      <c r="M10" s="109"/>
      <c r="N10" s="109"/>
      <c r="O10" s="109"/>
      <c r="P10" s="109"/>
      <c r="Q10" s="109">
        <f t="shared" si="5"/>
        <v>8130</v>
      </c>
      <c r="R10" s="109"/>
      <c r="S10" s="109"/>
      <c r="T10" s="111">
        <f t="shared" si="6"/>
        <v>0</v>
      </c>
      <c r="U10" s="111">
        <f t="shared" si="7"/>
        <v>30</v>
      </c>
      <c r="V10" s="111"/>
      <c r="W10" s="109"/>
      <c r="X10" s="109"/>
      <c r="Y10" s="109"/>
      <c r="Z10" s="109">
        <f t="shared" si="8"/>
        <v>30</v>
      </c>
      <c r="AA10" s="109">
        <f t="shared" si="9"/>
        <v>8100</v>
      </c>
      <c r="AB10" s="189" t="s">
        <v>229</v>
      </c>
      <c r="AC10" s="112" t="s">
        <v>35</v>
      </c>
    </row>
    <row r="11" ht="21.75" customHeight="1" spans="1:29">
      <c r="A11" s="104">
        <v>6</v>
      </c>
      <c r="B11" s="110" t="s">
        <v>230</v>
      </c>
      <c r="C11" s="111" t="s">
        <v>225</v>
      </c>
      <c r="D11" s="111" t="s">
        <v>222</v>
      </c>
      <c r="E11" s="117">
        <v>9000</v>
      </c>
      <c r="F11" s="117">
        <v>9000</v>
      </c>
      <c r="G11" s="109"/>
      <c r="H11" s="109"/>
      <c r="I11" s="109"/>
      <c r="J11" s="107">
        <v>28</v>
      </c>
      <c r="K11" s="109"/>
      <c r="L11" s="109"/>
      <c r="M11" s="109"/>
      <c r="N11" s="109"/>
      <c r="O11" s="109"/>
      <c r="P11" s="109"/>
      <c r="Q11" s="109">
        <f t="shared" ref="Q11" si="10">ROUNDUP(F11/$J$5*J11+N11,0)</f>
        <v>8130</v>
      </c>
      <c r="R11" s="109"/>
      <c r="S11" s="109"/>
      <c r="T11" s="111">
        <f t="shared" ref="T11" si="11">IF(Q11&gt;20001,200,IF(Q11&gt;15001,150,IF(Q11&lt;15000,0,)))</f>
        <v>0</v>
      </c>
      <c r="U11" s="111">
        <f t="shared" ref="U11" si="12">IF(Q11,IF(1,30),IF(1,0))</f>
        <v>30</v>
      </c>
      <c r="V11" s="111"/>
      <c r="W11" s="109"/>
      <c r="X11" s="109"/>
      <c r="Y11" s="109"/>
      <c r="Z11" s="109">
        <f t="shared" ref="Z11" si="13">ROUNDUP(R11+S11+T11+U11+W11+X11+Y11,0)</f>
        <v>30</v>
      </c>
      <c r="AA11" s="109">
        <f t="shared" ref="AA11" si="14">Q11-Z11</f>
        <v>8100</v>
      </c>
      <c r="AB11" s="189" t="s">
        <v>231</v>
      </c>
      <c r="AC11" s="112" t="s">
        <v>35</v>
      </c>
    </row>
    <row r="12" ht="21.75" customHeight="1" spans="1:29">
      <c r="A12" s="104">
        <v>7</v>
      </c>
      <c r="B12" s="110" t="s">
        <v>232</v>
      </c>
      <c r="C12" s="111" t="s">
        <v>225</v>
      </c>
      <c r="D12" s="111" t="s">
        <v>226</v>
      </c>
      <c r="E12" s="117">
        <v>9000</v>
      </c>
      <c r="F12" s="117">
        <v>9000</v>
      </c>
      <c r="G12" s="109"/>
      <c r="H12" s="109"/>
      <c r="I12" s="109"/>
      <c r="J12" s="107">
        <v>29</v>
      </c>
      <c r="K12" s="109"/>
      <c r="L12" s="109"/>
      <c r="M12" s="109"/>
      <c r="N12" s="109"/>
      <c r="O12" s="109"/>
      <c r="P12" s="109"/>
      <c r="Q12" s="109">
        <f t="shared" ref="Q12" si="15">ROUNDUP(F12/$J$5*J12+N12,0)</f>
        <v>8420</v>
      </c>
      <c r="R12" s="109"/>
      <c r="S12" s="109"/>
      <c r="T12" s="111">
        <f t="shared" ref="T12" si="16">IF(Q12&gt;20001,200,IF(Q12&gt;15001,150,IF(Q12&lt;15000,0,)))</f>
        <v>0</v>
      </c>
      <c r="U12" s="111">
        <f t="shared" ref="U12:U13" si="17">IF(Q12,IF(1,30),IF(1,0))</f>
        <v>30</v>
      </c>
      <c r="V12" s="111"/>
      <c r="W12" s="109"/>
      <c r="X12" s="109"/>
      <c r="Y12" s="109"/>
      <c r="Z12" s="109">
        <f t="shared" ref="Z12" si="18">ROUNDUP(R12+S12+T12+U12+W12+X12+Y12,0)</f>
        <v>30</v>
      </c>
      <c r="AA12" s="109">
        <f t="shared" ref="AA12:AA13" si="19">Q12-Z12</f>
        <v>8390</v>
      </c>
      <c r="AB12" s="189" t="s">
        <v>233</v>
      </c>
      <c r="AC12" s="112" t="s">
        <v>35</v>
      </c>
    </row>
    <row r="13" ht="21.75" customHeight="1" spans="1:29">
      <c r="A13" s="109">
        <v>8</v>
      </c>
      <c r="B13" s="110" t="s">
        <v>234</v>
      </c>
      <c r="C13" s="111" t="s">
        <v>225</v>
      </c>
      <c r="D13" s="111" t="s">
        <v>226</v>
      </c>
      <c r="E13" s="117">
        <v>9000</v>
      </c>
      <c r="F13" s="117">
        <v>9000</v>
      </c>
      <c r="G13" s="109"/>
      <c r="H13" s="109"/>
      <c r="I13" s="109"/>
      <c r="J13" s="107">
        <v>31</v>
      </c>
      <c r="K13" s="109"/>
      <c r="L13" s="109"/>
      <c r="M13" s="109"/>
      <c r="N13" s="109"/>
      <c r="O13" s="109"/>
      <c r="P13" s="109"/>
      <c r="Q13" s="109">
        <f t="shared" ref="Q12:Q22" si="20">ROUNDUP(F13/$J$5*J13+N13,0)</f>
        <v>9000</v>
      </c>
      <c r="R13" s="111"/>
      <c r="S13" s="109"/>
      <c r="T13" s="111">
        <f t="shared" ref="T12:T22" si="21">IF(Q13&gt;20001,200,IF(Q13&gt;15001,150,IF(Q13&lt;15000,0,)))</f>
        <v>0</v>
      </c>
      <c r="U13" s="111">
        <f t="shared" si="17"/>
        <v>30</v>
      </c>
      <c r="V13" s="111"/>
      <c r="W13" s="109"/>
      <c r="X13" s="109"/>
      <c r="Y13" s="109"/>
      <c r="Z13" s="109">
        <f t="shared" ref="Z12:Z22" si="22">ROUNDUP(R13+S13+T13+U13+W13+X13+Y13,0)</f>
        <v>30</v>
      </c>
      <c r="AA13" s="109">
        <f t="shared" si="19"/>
        <v>8970</v>
      </c>
      <c r="AB13" s="112" t="s">
        <v>235</v>
      </c>
      <c r="AC13" s="112" t="s">
        <v>61</v>
      </c>
    </row>
    <row r="14" ht="21.75" customHeight="1" spans="1:29">
      <c r="A14" s="104">
        <v>9</v>
      </c>
      <c r="B14" s="110" t="s">
        <v>236</v>
      </c>
      <c r="C14" s="111" t="s">
        <v>225</v>
      </c>
      <c r="D14" s="111" t="s">
        <v>226</v>
      </c>
      <c r="E14" s="117">
        <v>9000</v>
      </c>
      <c r="F14" s="117">
        <v>9000</v>
      </c>
      <c r="G14" s="109"/>
      <c r="H14" s="109"/>
      <c r="I14" s="109"/>
      <c r="J14" s="107">
        <v>30.5</v>
      </c>
      <c r="K14" s="109"/>
      <c r="L14" s="109"/>
      <c r="M14" s="109"/>
      <c r="N14" s="109"/>
      <c r="O14" s="109"/>
      <c r="P14" s="109"/>
      <c r="Q14" s="109">
        <f t="shared" ref="Q14" si="23">ROUNDUP(F14/$J$5*J14+N14,0)</f>
        <v>8855</v>
      </c>
      <c r="R14" s="111"/>
      <c r="S14" s="109"/>
      <c r="T14" s="111">
        <f t="shared" ref="T14" si="24">IF(Q14&gt;20001,200,IF(Q14&gt;15001,150,IF(Q14&lt;15000,0,)))</f>
        <v>0</v>
      </c>
      <c r="U14" s="111">
        <f t="shared" ref="U14:U22" si="25">IF(Q14,IF(1,30),IF(1,0))</f>
        <v>30</v>
      </c>
      <c r="V14" s="111"/>
      <c r="W14" s="109"/>
      <c r="X14" s="109"/>
      <c r="Y14" s="109"/>
      <c r="Z14" s="109">
        <f t="shared" ref="Z14" si="26">ROUNDUP(R14+S14+T14+U14+W14+X14+Y14,0)</f>
        <v>30</v>
      </c>
      <c r="AA14" s="109">
        <f t="shared" ref="AA14:AA22" si="27">Q14-Z14</f>
        <v>8825</v>
      </c>
      <c r="AB14" s="187" t="s">
        <v>237</v>
      </c>
      <c r="AC14" s="112" t="s">
        <v>61</v>
      </c>
    </row>
    <row r="15" ht="21.75" customHeight="1" spans="1:29">
      <c r="A15" s="104">
        <v>10</v>
      </c>
      <c r="B15" s="110" t="s">
        <v>238</v>
      </c>
      <c r="C15" s="111" t="s">
        <v>225</v>
      </c>
      <c r="D15" s="111" t="s">
        <v>226</v>
      </c>
      <c r="E15" s="117">
        <v>9000</v>
      </c>
      <c r="F15" s="117">
        <v>9000</v>
      </c>
      <c r="G15" s="109"/>
      <c r="H15" s="109"/>
      <c r="I15" s="109"/>
      <c r="J15" s="107">
        <v>31</v>
      </c>
      <c r="K15" s="109"/>
      <c r="L15" s="109"/>
      <c r="M15" s="109"/>
      <c r="N15" s="109"/>
      <c r="O15" s="109"/>
      <c r="P15" s="109"/>
      <c r="Q15" s="109">
        <f t="shared" si="20"/>
        <v>9000</v>
      </c>
      <c r="R15" s="111"/>
      <c r="S15" s="109"/>
      <c r="T15" s="111">
        <f t="shared" si="21"/>
        <v>0</v>
      </c>
      <c r="U15" s="111">
        <f t="shared" si="25"/>
        <v>30</v>
      </c>
      <c r="V15" s="111"/>
      <c r="W15" s="109"/>
      <c r="X15" s="109"/>
      <c r="Y15" s="109"/>
      <c r="Z15" s="109">
        <f t="shared" si="22"/>
        <v>30</v>
      </c>
      <c r="AA15" s="109">
        <f t="shared" si="27"/>
        <v>8970</v>
      </c>
      <c r="AB15" s="190" t="s">
        <v>239</v>
      </c>
      <c r="AC15" s="112" t="s">
        <v>35</v>
      </c>
    </row>
    <row r="16" ht="21.75" customHeight="1" spans="1:29">
      <c r="A16" s="109">
        <v>11</v>
      </c>
      <c r="B16" s="110" t="s">
        <v>240</v>
      </c>
      <c r="C16" s="111" t="s">
        <v>225</v>
      </c>
      <c r="D16" s="111" t="s">
        <v>226</v>
      </c>
      <c r="E16" s="117">
        <v>9000</v>
      </c>
      <c r="F16" s="117">
        <v>9000</v>
      </c>
      <c r="G16" s="109"/>
      <c r="H16" s="109"/>
      <c r="I16" s="109"/>
      <c r="J16" s="107">
        <v>28</v>
      </c>
      <c r="K16" s="109"/>
      <c r="L16" s="109"/>
      <c r="M16" s="109"/>
      <c r="N16" s="109"/>
      <c r="O16" s="109"/>
      <c r="P16" s="109"/>
      <c r="Q16" s="109">
        <f t="shared" si="20"/>
        <v>8130</v>
      </c>
      <c r="R16" s="111"/>
      <c r="S16" s="109"/>
      <c r="T16" s="111">
        <f t="shared" si="21"/>
        <v>0</v>
      </c>
      <c r="U16" s="111">
        <f t="shared" si="25"/>
        <v>30</v>
      </c>
      <c r="V16" s="111"/>
      <c r="W16" s="109"/>
      <c r="X16" s="109"/>
      <c r="Y16" s="109"/>
      <c r="Z16" s="109">
        <f t="shared" si="22"/>
        <v>30</v>
      </c>
      <c r="AA16" s="109">
        <f t="shared" si="27"/>
        <v>8100</v>
      </c>
      <c r="AB16" s="187" t="s">
        <v>241</v>
      </c>
      <c r="AC16" s="112" t="s">
        <v>242</v>
      </c>
    </row>
    <row r="17" ht="21.75" customHeight="1" spans="1:29">
      <c r="A17" s="104">
        <v>12</v>
      </c>
      <c r="B17" s="110" t="s">
        <v>243</v>
      </c>
      <c r="C17" s="111" t="s">
        <v>225</v>
      </c>
      <c r="D17" s="111" t="s">
        <v>226</v>
      </c>
      <c r="E17" s="117">
        <v>9000</v>
      </c>
      <c r="F17" s="117">
        <v>9000</v>
      </c>
      <c r="G17" s="109"/>
      <c r="H17" s="109"/>
      <c r="I17" s="109"/>
      <c r="J17" s="107">
        <v>28</v>
      </c>
      <c r="K17" s="109"/>
      <c r="L17" s="109"/>
      <c r="M17" s="109"/>
      <c r="N17" s="109"/>
      <c r="O17" s="109"/>
      <c r="P17" s="109"/>
      <c r="Q17" s="109">
        <f t="shared" si="20"/>
        <v>8130</v>
      </c>
      <c r="R17" s="111"/>
      <c r="S17" s="109"/>
      <c r="T17" s="111">
        <f t="shared" si="21"/>
        <v>0</v>
      </c>
      <c r="U17" s="111">
        <f t="shared" si="25"/>
        <v>30</v>
      </c>
      <c r="V17" s="111"/>
      <c r="W17" s="109"/>
      <c r="X17" s="109"/>
      <c r="Y17" s="109"/>
      <c r="Z17" s="109">
        <f t="shared" si="22"/>
        <v>30</v>
      </c>
      <c r="AA17" s="109">
        <f t="shared" si="27"/>
        <v>8100</v>
      </c>
      <c r="AB17" s="187" t="s">
        <v>244</v>
      </c>
      <c r="AC17" s="112" t="s">
        <v>61</v>
      </c>
    </row>
    <row r="18" ht="21.75" customHeight="1" spans="1:29">
      <c r="A18" s="104">
        <v>13</v>
      </c>
      <c r="B18" s="110" t="s">
        <v>245</v>
      </c>
      <c r="C18" s="111" t="s">
        <v>225</v>
      </c>
      <c r="D18" s="111" t="s">
        <v>226</v>
      </c>
      <c r="E18" s="120">
        <v>9000</v>
      </c>
      <c r="F18" s="120">
        <v>9000</v>
      </c>
      <c r="G18" s="121"/>
      <c r="H18" s="121"/>
      <c r="I18" s="121"/>
      <c r="J18" s="122">
        <v>30</v>
      </c>
      <c r="K18" s="123"/>
      <c r="L18" s="123"/>
      <c r="M18" s="123"/>
      <c r="N18" s="123"/>
      <c r="O18" s="123"/>
      <c r="P18" s="123"/>
      <c r="Q18" s="123">
        <f t="shared" si="20"/>
        <v>8710</v>
      </c>
      <c r="R18" s="124"/>
      <c r="S18" s="123"/>
      <c r="T18" s="124">
        <f t="shared" si="21"/>
        <v>0</v>
      </c>
      <c r="U18" s="124">
        <f t="shared" si="25"/>
        <v>30</v>
      </c>
      <c r="V18" s="124"/>
      <c r="W18" s="123"/>
      <c r="X18" s="123"/>
      <c r="Y18" s="123"/>
      <c r="Z18" s="123">
        <f t="shared" si="22"/>
        <v>30</v>
      </c>
      <c r="AA18" s="123">
        <f t="shared" si="27"/>
        <v>8680</v>
      </c>
      <c r="AB18" s="191" t="s">
        <v>246</v>
      </c>
      <c r="AC18" s="125" t="s">
        <v>35</v>
      </c>
    </row>
    <row r="19" ht="21.75" customHeight="1" spans="1:29">
      <c r="A19" s="109">
        <v>14</v>
      </c>
      <c r="B19" s="64" t="s">
        <v>247</v>
      </c>
      <c r="C19" s="54" t="s">
        <v>225</v>
      </c>
      <c r="D19" s="126" t="s">
        <v>226</v>
      </c>
      <c r="E19" s="127">
        <v>9000</v>
      </c>
      <c r="F19" s="127">
        <v>9000</v>
      </c>
      <c r="G19" s="128"/>
      <c r="H19" s="128"/>
      <c r="I19" s="128"/>
      <c r="J19" s="129">
        <v>29</v>
      </c>
      <c r="K19" s="52"/>
      <c r="L19" s="52"/>
      <c r="M19" s="52"/>
      <c r="N19" s="52"/>
      <c r="O19" s="52"/>
      <c r="P19" s="52"/>
      <c r="Q19" s="52">
        <f t="shared" si="20"/>
        <v>8420</v>
      </c>
      <c r="R19" s="54"/>
      <c r="S19" s="52"/>
      <c r="T19" s="54">
        <f t="shared" si="21"/>
        <v>0</v>
      </c>
      <c r="U19" s="54">
        <f t="shared" si="25"/>
        <v>30</v>
      </c>
      <c r="V19" s="54"/>
      <c r="W19" s="52"/>
      <c r="X19" s="52"/>
      <c r="Y19" s="52"/>
      <c r="Z19" s="52">
        <f t="shared" si="22"/>
        <v>30</v>
      </c>
      <c r="AA19" s="52">
        <f t="shared" si="27"/>
        <v>8390</v>
      </c>
      <c r="AB19" s="183" t="s">
        <v>248</v>
      </c>
      <c r="AC19" s="56" t="s">
        <v>249</v>
      </c>
    </row>
    <row r="20" ht="21.75" customHeight="1" spans="1:29">
      <c r="A20" s="104">
        <v>15</v>
      </c>
      <c r="B20" s="64" t="s">
        <v>250</v>
      </c>
      <c r="C20" s="54" t="s">
        <v>225</v>
      </c>
      <c r="D20" s="126" t="s">
        <v>226</v>
      </c>
      <c r="E20" s="127">
        <v>9000</v>
      </c>
      <c r="F20" s="127">
        <v>9000</v>
      </c>
      <c r="G20" s="130"/>
      <c r="H20" s="130"/>
      <c r="I20" s="130"/>
      <c r="J20" s="131">
        <v>29.5</v>
      </c>
      <c r="K20" s="132"/>
      <c r="L20" s="132"/>
      <c r="M20" s="132"/>
      <c r="N20" s="132"/>
      <c r="O20" s="132"/>
      <c r="P20" s="132"/>
      <c r="Q20" s="132">
        <f t="shared" si="20"/>
        <v>8565</v>
      </c>
      <c r="R20" s="133"/>
      <c r="S20" s="132"/>
      <c r="T20" s="133">
        <f t="shared" si="21"/>
        <v>0</v>
      </c>
      <c r="U20" s="133">
        <f t="shared" si="25"/>
        <v>30</v>
      </c>
      <c r="V20" s="133"/>
      <c r="W20" s="132"/>
      <c r="X20" s="132"/>
      <c r="Y20" s="132"/>
      <c r="Z20" s="132">
        <f t="shared" si="22"/>
        <v>30</v>
      </c>
      <c r="AA20" s="132">
        <f t="shared" si="27"/>
        <v>8535</v>
      </c>
      <c r="AB20" s="192" t="s">
        <v>251</v>
      </c>
      <c r="AC20" s="134" t="s">
        <v>61</v>
      </c>
    </row>
    <row r="21" s="96" customFormat="1" ht="21.75" customHeight="1" spans="1:29">
      <c r="A21" s="104">
        <v>16</v>
      </c>
      <c r="B21" s="135" t="s">
        <v>252</v>
      </c>
      <c r="C21" s="136" t="s">
        <v>225</v>
      </c>
      <c r="D21" s="114" t="s">
        <v>222</v>
      </c>
      <c r="E21" s="137">
        <v>9000</v>
      </c>
      <c r="F21" s="137">
        <v>9000</v>
      </c>
      <c r="G21" s="138"/>
      <c r="H21" s="138"/>
      <c r="I21" s="138"/>
      <c r="J21" s="129">
        <v>29.5</v>
      </c>
      <c r="K21" s="138"/>
      <c r="L21" s="138"/>
      <c r="M21" s="138"/>
      <c r="N21" s="138"/>
      <c r="O21" s="138"/>
      <c r="P21" s="138"/>
      <c r="Q21" s="138">
        <f t="shared" si="20"/>
        <v>8565</v>
      </c>
      <c r="R21" s="139"/>
      <c r="S21" s="138"/>
      <c r="T21" s="139">
        <f t="shared" si="21"/>
        <v>0</v>
      </c>
      <c r="U21" s="139">
        <f t="shared" si="25"/>
        <v>30</v>
      </c>
      <c r="V21" s="139"/>
      <c r="W21" s="138"/>
      <c r="X21" s="138"/>
      <c r="Y21" s="138"/>
      <c r="Z21" s="138">
        <f t="shared" si="22"/>
        <v>30</v>
      </c>
      <c r="AA21" s="138">
        <f t="shared" si="27"/>
        <v>8535</v>
      </c>
      <c r="AB21" s="193" t="s">
        <v>253</v>
      </c>
      <c r="AC21" s="140" t="s">
        <v>254</v>
      </c>
    </row>
    <row r="22" ht="21.75" customHeight="1" spans="1:29">
      <c r="A22" s="109">
        <v>17</v>
      </c>
      <c r="B22" s="110" t="s">
        <v>255</v>
      </c>
      <c r="C22" s="111" t="s">
        <v>225</v>
      </c>
      <c r="D22" s="111" t="s">
        <v>256</v>
      </c>
      <c r="E22" s="117">
        <v>9000</v>
      </c>
      <c r="F22" s="117">
        <v>9000</v>
      </c>
      <c r="G22" s="109"/>
      <c r="H22" s="109"/>
      <c r="I22" s="109"/>
      <c r="J22" s="107">
        <v>31</v>
      </c>
      <c r="K22" s="109"/>
      <c r="L22" s="109"/>
      <c r="M22" s="109"/>
      <c r="N22" s="109"/>
      <c r="O22" s="109"/>
      <c r="P22" s="109"/>
      <c r="Q22" s="109">
        <f t="shared" si="20"/>
        <v>9000</v>
      </c>
      <c r="R22" s="109"/>
      <c r="S22" s="109"/>
      <c r="T22" s="111">
        <f t="shared" si="21"/>
        <v>0</v>
      </c>
      <c r="U22" s="111">
        <f t="shared" si="25"/>
        <v>30</v>
      </c>
      <c r="V22" s="111"/>
      <c r="W22" s="109"/>
      <c r="X22" s="109"/>
      <c r="Y22" s="109"/>
      <c r="Z22" s="109">
        <f t="shared" si="22"/>
        <v>30</v>
      </c>
      <c r="AA22" s="109">
        <f t="shared" si="27"/>
        <v>8970</v>
      </c>
      <c r="AB22" s="112" t="s">
        <v>257</v>
      </c>
      <c r="AC22" s="112" t="s">
        <v>61</v>
      </c>
    </row>
    <row r="23" ht="21.75" customHeight="1" spans="1:29">
      <c r="A23" s="57"/>
      <c r="B23" s="80" t="s">
        <v>140</v>
      </c>
      <c r="C23" s="81"/>
      <c r="D23" s="81"/>
      <c r="E23" s="57">
        <f>SUM(E6:E22)</f>
        <v>164000</v>
      </c>
      <c r="F23" s="57">
        <f>SUM(F6:F22)</f>
        <v>164000</v>
      </c>
      <c r="G23" s="57">
        <f>SUM(G9:G13)</f>
        <v>0</v>
      </c>
      <c r="H23" s="57">
        <f>SUM(H9:H13)</f>
        <v>0</v>
      </c>
      <c r="I23" s="57">
        <f>SUM(I9:I13)</f>
        <v>0</v>
      </c>
      <c r="J23" s="81"/>
      <c r="K23" s="57">
        <f t="shared" ref="K23:P23" si="28">SUM(K9:K13)</f>
        <v>0</v>
      </c>
      <c r="L23" s="57">
        <f t="shared" si="28"/>
        <v>0</v>
      </c>
      <c r="M23" s="57">
        <f t="shared" si="28"/>
        <v>0</v>
      </c>
      <c r="N23" s="57">
        <f t="shared" si="28"/>
        <v>0</v>
      </c>
      <c r="O23" s="57">
        <f t="shared" si="28"/>
        <v>0</v>
      </c>
      <c r="P23" s="57">
        <f t="shared" si="28"/>
        <v>0</v>
      </c>
      <c r="Q23" s="57">
        <f>SUM(Q6:Q22)</f>
        <v>157636</v>
      </c>
      <c r="R23" s="57">
        <f t="shared" ref="R23:AA23" si="29">SUM(R6:R22)</f>
        <v>0</v>
      </c>
      <c r="S23" s="57">
        <f t="shared" si="29"/>
        <v>0</v>
      </c>
      <c r="T23" s="57">
        <f t="shared" si="29"/>
        <v>150</v>
      </c>
      <c r="U23" s="57">
        <f t="shared" si="29"/>
        <v>510</v>
      </c>
      <c r="V23" s="57">
        <f t="shared" si="29"/>
        <v>0</v>
      </c>
      <c r="W23" s="57">
        <f t="shared" si="29"/>
        <v>0</v>
      </c>
      <c r="X23" s="57">
        <f t="shared" si="29"/>
        <v>0</v>
      </c>
      <c r="Y23" s="57">
        <f t="shared" si="29"/>
        <v>1666</v>
      </c>
      <c r="Z23" s="57">
        <f t="shared" si="29"/>
        <v>2326</v>
      </c>
      <c r="AA23" s="57">
        <f t="shared" si="29"/>
        <v>155310</v>
      </c>
      <c r="AB23" s="57"/>
      <c r="AC23" s="57"/>
    </row>
    <row r="24" ht="15.75" customHeight="1" spans="1:29">
      <c r="A24" s="85"/>
      <c r="B24" s="83"/>
      <c r="C24" s="84"/>
      <c r="D24" s="141"/>
      <c r="E24" s="142"/>
      <c r="F24" s="142"/>
      <c r="G24" s="85"/>
      <c r="H24" s="85"/>
      <c r="I24" s="85"/>
      <c r="J24" s="84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</row>
    <row r="25" s="41" customFormat="1" ht="66" customHeight="1" spans="1:29">
      <c r="A25" s="88"/>
      <c r="B25" s="89" t="s">
        <v>141</v>
      </c>
      <c r="C25" s="89" t="s">
        <v>142</v>
      </c>
      <c r="D25" s="89"/>
      <c r="E25" s="89" t="s">
        <v>142</v>
      </c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</row>
    <row r="26" s="42" customFormat="1" ht="28.5" customHeight="1" spans="1:29">
      <c r="A26" s="91"/>
      <c r="B26" s="92" t="s">
        <v>143</v>
      </c>
      <c r="C26" s="93" t="s">
        <v>144</v>
      </c>
      <c r="D26" s="93"/>
      <c r="E26" s="93" t="s">
        <v>145</v>
      </c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 t="s">
        <v>146</v>
      </c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 t="s">
        <v>147</v>
      </c>
      <c r="AB26" s="93"/>
      <c r="AC26" s="93"/>
    </row>
    <row r="27" ht="28.5" customHeight="1" spans="1:29">
      <c r="A27" s="39"/>
      <c r="B27" s="94"/>
      <c r="C27" s="95"/>
      <c r="D27" s="95"/>
      <c r="E27" s="39"/>
      <c r="F27" s="39"/>
      <c r="G27" s="39"/>
      <c r="H27" s="39"/>
      <c r="I27" s="39"/>
      <c r="J27" s="143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86"/>
      <c r="AC27" s="39"/>
    </row>
    <row r="28" ht="28.5" customHeight="1" spans="1:29">
      <c r="A28" s="39"/>
      <c r="B28" s="94"/>
      <c r="C28" s="95"/>
      <c r="D28" s="95"/>
      <c r="E28" s="39"/>
      <c r="F28" s="39"/>
      <c r="G28" s="39"/>
      <c r="H28" s="39"/>
      <c r="I28" s="39"/>
      <c r="J28" s="143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86"/>
      <c r="AC28" s="39"/>
    </row>
    <row r="29" ht="28.5" customHeight="1" spans="1:29">
      <c r="A29" s="39"/>
      <c r="B29" s="94"/>
      <c r="C29" s="95"/>
      <c r="D29" s="95"/>
      <c r="E29" s="39"/>
      <c r="F29" s="39"/>
      <c r="G29" s="39"/>
      <c r="H29" s="39"/>
      <c r="I29" s="39"/>
      <c r="J29" s="143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86"/>
      <c r="AC29" s="39"/>
    </row>
    <row r="30" ht="28.5" customHeight="1" spans="1:29">
      <c r="A30" s="39"/>
      <c r="B30" s="94"/>
      <c r="C30" s="95"/>
      <c r="D30" s="95"/>
      <c r="E30" s="39"/>
      <c r="F30" s="39"/>
      <c r="G30" s="39"/>
      <c r="H30" s="39"/>
      <c r="I30" s="39"/>
      <c r="J30" s="143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86"/>
      <c r="AC30" s="39"/>
    </row>
    <row r="31" ht="28.5" customHeight="1" spans="1:29">
      <c r="A31" s="39"/>
      <c r="B31" s="94"/>
      <c r="C31" s="95"/>
      <c r="D31" s="95"/>
      <c r="E31" s="39"/>
      <c r="F31" s="39"/>
      <c r="G31" s="39"/>
      <c r="H31" s="39"/>
      <c r="I31" s="39"/>
      <c r="J31" s="143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86"/>
      <c r="AC31" s="39"/>
    </row>
    <row r="32" ht="28.5" customHeight="1" spans="1:29">
      <c r="A32" s="39"/>
      <c r="B32" s="94"/>
      <c r="C32" s="95"/>
      <c r="D32" s="95"/>
      <c r="E32" s="39"/>
      <c r="F32" s="39"/>
      <c r="G32" s="39"/>
      <c r="H32" s="39"/>
      <c r="I32" s="39"/>
      <c r="J32" s="143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86"/>
      <c r="AC32" s="39"/>
    </row>
    <row r="33" ht="28.5" customHeight="1" spans="1:29">
      <c r="A33" s="39"/>
      <c r="B33" s="94"/>
      <c r="C33" s="95"/>
      <c r="D33" s="95"/>
      <c r="E33" s="39"/>
      <c r="F33" s="39"/>
      <c r="G33" s="39"/>
      <c r="H33" s="39"/>
      <c r="I33" s="39"/>
      <c r="J33" s="143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86"/>
      <c r="AC33" s="39"/>
    </row>
    <row r="34" ht="28.5" customHeight="1" spans="1:29">
      <c r="A34" s="39"/>
      <c r="B34" s="94"/>
      <c r="C34" s="95"/>
      <c r="D34" s="95"/>
      <c r="E34" s="39"/>
      <c r="F34" s="39"/>
      <c r="G34" s="39"/>
      <c r="H34" s="39"/>
      <c r="I34" s="39"/>
      <c r="J34" s="143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86"/>
      <c r="AC34" s="39"/>
    </row>
    <row r="35" ht="28.5" customHeight="1" spans="1:29">
      <c r="A35" s="39"/>
      <c r="B35" s="94"/>
      <c r="C35" s="95"/>
      <c r="D35" s="95"/>
      <c r="E35" s="39"/>
      <c r="F35" s="39"/>
      <c r="G35" s="39"/>
      <c r="H35" s="39"/>
      <c r="I35" s="39"/>
      <c r="J35" s="143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86"/>
      <c r="AC35" s="39"/>
    </row>
    <row r="36" ht="28.5" customHeight="1" spans="1:29">
      <c r="A36" s="39"/>
      <c r="B36" s="94"/>
      <c r="C36" s="95"/>
      <c r="D36" s="95"/>
      <c r="E36" s="39"/>
      <c r="F36" s="39"/>
      <c r="G36" s="39"/>
      <c r="H36" s="39"/>
      <c r="I36" s="39"/>
      <c r="J36" s="143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86"/>
      <c r="AC36" s="39"/>
    </row>
    <row r="37" ht="28.5" customHeight="1" spans="1:29">
      <c r="A37" s="39"/>
      <c r="B37" s="94"/>
      <c r="C37" s="95"/>
      <c r="D37" s="95"/>
      <c r="E37" s="39"/>
      <c r="F37" s="39"/>
      <c r="G37" s="39"/>
      <c r="H37" s="39"/>
      <c r="I37" s="39"/>
      <c r="J37" s="143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86"/>
      <c r="AC37" s="39"/>
    </row>
    <row r="38" ht="28.5" customHeight="1" spans="1:29">
      <c r="A38" s="39"/>
      <c r="B38" s="94"/>
      <c r="C38" s="95"/>
      <c r="D38" s="95"/>
      <c r="E38" s="39"/>
      <c r="F38" s="39"/>
      <c r="G38" s="39"/>
      <c r="H38" s="39"/>
      <c r="I38" s="39"/>
      <c r="J38" s="143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86"/>
      <c r="AC38" s="39"/>
    </row>
    <row r="39" ht="28.5" customHeight="1" spans="1:29">
      <c r="A39" s="39"/>
      <c r="B39" s="94"/>
      <c r="C39" s="95"/>
      <c r="D39" s="95"/>
      <c r="E39" s="39"/>
      <c r="F39" s="39"/>
      <c r="G39" s="39"/>
      <c r="H39" s="39"/>
      <c r="I39" s="39"/>
      <c r="J39" s="143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86"/>
      <c r="AC39" s="39"/>
    </row>
    <row r="40" ht="28.5" customHeight="1" spans="1:29">
      <c r="A40" s="39"/>
      <c r="B40" s="94"/>
      <c r="C40" s="95"/>
      <c r="D40" s="95"/>
      <c r="E40" s="39"/>
      <c r="F40" s="39"/>
      <c r="G40" s="39"/>
      <c r="H40" s="39"/>
      <c r="I40" s="39"/>
      <c r="J40" s="143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86"/>
      <c r="AC40" s="39"/>
    </row>
    <row r="41" ht="28.5" customHeight="1" spans="1:29">
      <c r="A41" s="39"/>
      <c r="B41" s="94"/>
      <c r="C41" s="95"/>
      <c r="D41" s="95"/>
      <c r="E41" s="39"/>
      <c r="F41" s="39"/>
      <c r="G41" s="39"/>
      <c r="H41" s="39"/>
      <c r="I41" s="39"/>
      <c r="J41" s="143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86"/>
      <c r="AC41" s="39"/>
    </row>
    <row r="42" ht="28.5" customHeight="1" spans="1:29">
      <c r="A42" s="39"/>
      <c r="B42" s="94"/>
      <c r="C42" s="95"/>
      <c r="D42" s="95"/>
      <c r="E42" s="39"/>
      <c r="F42" s="39"/>
      <c r="G42" s="39"/>
      <c r="H42" s="39"/>
      <c r="I42" s="39"/>
      <c r="J42" s="143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86"/>
      <c r="AC42" s="39"/>
    </row>
    <row r="43" ht="28.5" customHeight="1" spans="1:29">
      <c r="A43" s="39"/>
      <c r="B43" s="94"/>
      <c r="C43" s="95"/>
      <c r="D43" s="95"/>
      <c r="E43" s="39"/>
      <c r="F43" s="39"/>
      <c r="G43" s="39"/>
      <c r="H43" s="39"/>
      <c r="I43" s="39"/>
      <c r="J43" s="143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86"/>
      <c r="AC43" s="39"/>
    </row>
    <row r="44" ht="28.5" customHeight="1" spans="1:29">
      <c r="A44" s="39"/>
      <c r="B44" s="94"/>
      <c r="C44" s="95"/>
      <c r="D44" s="95"/>
      <c r="E44" s="39"/>
      <c r="F44" s="39"/>
      <c r="G44" s="39"/>
      <c r="H44" s="39"/>
      <c r="I44" s="39"/>
      <c r="J44" s="143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86"/>
      <c r="AC44" s="39"/>
    </row>
    <row r="45" ht="28.5" customHeight="1" spans="1:29">
      <c r="A45" s="39"/>
      <c r="B45" s="94"/>
      <c r="C45" s="95"/>
      <c r="D45" s="95"/>
      <c r="E45" s="39"/>
      <c r="F45" s="39"/>
      <c r="G45" s="39"/>
      <c r="H45" s="39"/>
      <c r="I45" s="39"/>
      <c r="J45" s="143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86"/>
      <c r="AC45" s="39"/>
    </row>
    <row r="46" ht="28.5" customHeight="1" spans="1:29">
      <c r="A46" s="39"/>
      <c r="B46" s="94"/>
      <c r="C46" s="95"/>
      <c r="D46" s="95"/>
      <c r="E46" s="39"/>
      <c r="F46" s="39"/>
      <c r="G46" s="39"/>
      <c r="H46" s="39"/>
      <c r="I46" s="39"/>
      <c r="J46" s="143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86"/>
      <c r="AC46" s="39"/>
    </row>
    <row r="47" ht="28.5" customHeight="1" spans="1:29">
      <c r="A47" s="39"/>
      <c r="B47" s="94"/>
      <c r="C47" s="95"/>
      <c r="D47" s="95"/>
      <c r="E47" s="39"/>
      <c r="F47" s="39"/>
      <c r="G47" s="39"/>
      <c r="H47" s="39"/>
      <c r="I47" s="39"/>
      <c r="J47" s="143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86"/>
      <c r="AC47" s="39"/>
    </row>
    <row r="48" ht="28.5" customHeight="1" spans="1:29">
      <c r="A48" s="39"/>
      <c r="B48" s="94"/>
      <c r="C48" s="95"/>
      <c r="D48" s="95"/>
      <c r="E48" s="39"/>
      <c r="F48" s="39"/>
      <c r="G48" s="39"/>
      <c r="H48" s="39"/>
      <c r="I48" s="39"/>
      <c r="J48" s="143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86"/>
      <c r="AC48" s="39"/>
    </row>
    <row r="49" ht="28.5" customHeight="1" spans="1:29">
      <c r="A49" s="39"/>
      <c r="B49" s="94"/>
      <c r="C49" s="95"/>
      <c r="D49" s="95"/>
      <c r="E49" s="39"/>
      <c r="F49" s="39"/>
      <c r="G49" s="39"/>
      <c r="H49" s="39"/>
      <c r="I49" s="39"/>
      <c r="J49" s="143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86"/>
      <c r="AC49" s="39"/>
    </row>
    <row r="50" ht="28.5" customHeight="1" spans="1:29">
      <c r="A50" s="39"/>
      <c r="B50" s="94"/>
      <c r="C50" s="95"/>
      <c r="D50" s="95"/>
      <c r="E50" s="39"/>
      <c r="F50" s="39"/>
      <c r="G50" s="39"/>
      <c r="H50" s="39"/>
      <c r="I50" s="39"/>
      <c r="J50" s="143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86"/>
      <c r="AC50" s="39"/>
    </row>
    <row r="51" ht="28.5" customHeight="1" spans="1:29">
      <c r="A51" s="39"/>
      <c r="B51" s="94"/>
      <c r="C51" s="95"/>
      <c r="D51" s="95"/>
      <c r="E51" s="39"/>
      <c r="F51" s="39"/>
      <c r="G51" s="39"/>
      <c r="H51" s="39"/>
      <c r="I51" s="39"/>
      <c r="J51" s="143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86"/>
      <c r="AC51" s="39"/>
    </row>
    <row r="52" ht="28.5" customHeight="1" spans="1:29">
      <c r="A52" s="39"/>
      <c r="B52" s="94"/>
      <c r="C52" s="95"/>
      <c r="D52" s="95"/>
      <c r="E52" s="39"/>
      <c r="F52" s="39"/>
      <c r="G52" s="39"/>
      <c r="H52" s="39"/>
      <c r="I52" s="39"/>
      <c r="J52" s="143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86"/>
      <c r="AC52" s="39"/>
    </row>
    <row r="53" ht="28.5" customHeight="1" spans="1:29">
      <c r="A53" s="39"/>
      <c r="B53" s="94"/>
      <c r="C53" s="95"/>
      <c r="D53" s="95"/>
      <c r="E53" s="39"/>
      <c r="F53" s="39"/>
      <c r="G53" s="39"/>
      <c r="H53" s="39"/>
      <c r="I53" s="39"/>
      <c r="J53" s="143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86"/>
      <c r="AC53" s="39"/>
    </row>
    <row r="54" ht="28.5" customHeight="1" spans="1:29">
      <c r="A54" s="39"/>
      <c r="B54" s="94"/>
      <c r="C54" s="95"/>
      <c r="D54" s="95"/>
      <c r="E54" s="39"/>
      <c r="F54" s="39"/>
      <c r="G54" s="39"/>
      <c r="H54" s="39"/>
      <c r="I54" s="39"/>
      <c r="J54" s="143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86"/>
      <c r="AC54" s="39"/>
    </row>
    <row r="55" ht="28.5" customHeight="1" spans="1:29">
      <c r="A55" s="39"/>
      <c r="B55" s="94"/>
      <c r="C55" s="95"/>
      <c r="D55" s="95"/>
      <c r="E55" s="39"/>
      <c r="F55" s="39"/>
      <c r="G55" s="39"/>
      <c r="H55" s="39"/>
      <c r="I55" s="39"/>
      <c r="J55" s="143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86"/>
      <c r="AC55" s="39"/>
    </row>
    <row r="56" ht="28.5" customHeight="1" spans="1:29">
      <c r="A56" s="39"/>
      <c r="B56" s="94"/>
      <c r="C56" s="95"/>
      <c r="D56" s="95"/>
      <c r="E56" s="39"/>
      <c r="F56" s="39"/>
      <c r="G56" s="39"/>
      <c r="H56" s="39"/>
      <c r="I56" s="39"/>
      <c r="J56" s="143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86"/>
      <c r="AC56" s="39"/>
    </row>
    <row r="57" ht="28.5" customHeight="1" spans="1:29">
      <c r="A57" s="39"/>
      <c r="B57" s="94"/>
      <c r="C57" s="95"/>
      <c r="D57" s="95"/>
      <c r="E57" s="39"/>
      <c r="F57" s="39"/>
      <c r="G57" s="39"/>
      <c r="H57" s="39"/>
      <c r="I57" s="39"/>
      <c r="J57" s="143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86"/>
      <c r="AC57" s="39"/>
    </row>
    <row r="58" ht="28.5" customHeight="1" spans="1:29">
      <c r="A58" s="39"/>
      <c r="B58" s="94"/>
      <c r="C58" s="95"/>
      <c r="D58" s="95"/>
      <c r="E58" s="39"/>
      <c r="F58" s="39"/>
      <c r="G58" s="39"/>
      <c r="H58" s="39"/>
      <c r="I58" s="39"/>
      <c r="J58" s="143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86"/>
      <c r="AC58" s="39"/>
    </row>
    <row r="59" ht="28.5" customHeight="1" spans="1:29">
      <c r="A59" s="39"/>
      <c r="B59" s="94"/>
      <c r="C59" s="95"/>
      <c r="D59" s="95"/>
      <c r="E59" s="39"/>
      <c r="F59" s="39"/>
      <c r="G59" s="39"/>
      <c r="H59" s="39"/>
      <c r="I59" s="39"/>
      <c r="J59" s="143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86"/>
      <c r="AC59" s="39"/>
    </row>
    <row r="60" ht="28.5" customHeight="1" spans="1:29">
      <c r="A60" s="39"/>
      <c r="B60" s="94"/>
      <c r="C60" s="95"/>
      <c r="D60" s="95"/>
      <c r="E60" s="39"/>
      <c r="F60" s="39"/>
      <c r="G60" s="39"/>
      <c r="H60" s="39"/>
      <c r="I60" s="39"/>
      <c r="J60" s="143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86"/>
      <c r="AC60" s="39"/>
    </row>
    <row r="61" ht="28.5" customHeight="1" spans="1:29">
      <c r="A61" s="39"/>
      <c r="B61" s="94"/>
      <c r="C61" s="95"/>
      <c r="D61" s="95"/>
      <c r="E61" s="39"/>
      <c r="F61" s="39"/>
      <c r="G61" s="39"/>
      <c r="H61" s="39"/>
      <c r="I61" s="39"/>
      <c r="J61" s="143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86"/>
      <c r="AC61" s="39"/>
    </row>
    <row r="62" ht="28.5" customHeight="1" spans="1:29">
      <c r="A62" s="39"/>
      <c r="B62" s="94"/>
      <c r="C62" s="95"/>
      <c r="D62" s="95"/>
      <c r="E62" s="39"/>
      <c r="F62" s="39"/>
      <c r="G62" s="39"/>
      <c r="H62" s="39"/>
      <c r="I62" s="39"/>
      <c r="J62" s="143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86"/>
      <c r="AC62" s="39"/>
    </row>
    <row r="63" ht="28.5" customHeight="1" spans="1:29">
      <c r="A63" s="39"/>
      <c r="B63" s="94"/>
      <c r="C63" s="95"/>
      <c r="D63" s="95"/>
      <c r="E63" s="39"/>
      <c r="F63" s="39"/>
      <c r="G63" s="39"/>
      <c r="H63" s="39"/>
      <c r="I63" s="39"/>
      <c r="J63" s="143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86"/>
      <c r="AC63" s="39"/>
    </row>
    <row r="64" ht="28.5" customHeight="1" spans="1:29">
      <c r="A64" s="39"/>
      <c r="B64" s="94"/>
      <c r="C64" s="95"/>
      <c r="D64" s="95"/>
      <c r="E64" s="39"/>
      <c r="F64" s="39"/>
      <c r="G64" s="39"/>
      <c r="H64" s="39"/>
      <c r="I64" s="39"/>
      <c r="J64" s="143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86"/>
      <c r="AC64" s="39"/>
    </row>
    <row r="65" ht="28.5" customHeight="1" spans="1:29">
      <c r="A65" s="39"/>
      <c r="B65" s="94"/>
      <c r="C65" s="95"/>
      <c r="D65" s="95"/>
      <c r="E65" s="39"/>
      <c r="F65" s="39"/>
      <c r="G65" s="39"/>
      <c r="H65" s="39"/>
      <c r="I65" s="39"/>
      <c r="J65" s="143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86"/>
      <c r="AC65" s="39"/>
    </row>
    <row r="66" ht="28.5" customHeight="1" spans="1:29">
      <c r="A66" s="39"/>
      <c r="B66" s="94"/>
      <c r="C66" s="95"/>
      <c r="D66" s="95"/>
      <c r="E66" s="39"/>
      <c r="F66" s="39"/>
      <c r="G66" s="39"/>
      <c r="H66" s="39"/>
      <c r="I66" s="39"/>
      <c r="J66" s="143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86"/>
      <c r="AC66" s="39"/>
    </row>
    <row r="67" ht="28.5" customHeight="1" spans="1:29">
      <c r="A67" s="39"/>
      <c r="B67" s="94"/>
      <c r="C67" s="95"/>
      <c r="D67" s="95"/>
      <c r="E67" s="39"/>
      <c r="F67" s="39"/>
      <c r="G67" s="39"/>
      <c r="H67" s="39"/>
      <c r="I67" s="39"/>
      <c r="J67" s="143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86"/>
      <c r="AC67" s="39"/>
    </row>
    <row r="68" ht="28.5" customHeight="1" spans="1:29">
      <c r="A68" s="39"/>
      <c r="B68" s="94"/>
      <c r="C68" s="95"/>
      <c r="D68" s="95"/>
      <c r="E68" s="39"/>
      <c r="F68" s="39"/>
      <c r="G68" s="39"/>
      <c r="H68" s="39"/>
      <c r="I68" s="39"/>
      <c r="J68" s="143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86"/>
      <c r="AC68" s="39"/>
    </row>
    <row r="69" ht="28.5" customHeight="1" spans="1:29">
      <c r="A69" s="39"/>
      <c r="B69" s="94"/>
      <c r="C69" s="95"/>
      <c r="D69" s="95"/>
      <c r="E69" s="39"/>
      <c r="F69" s="39"/>
      <c r="G69" s="39"/>
      <c r="H69" s="39"/>
      <c r="I69" s="39"/>
      <c r="J69" s="143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86"/>
      <c r="AC69" s="39"/>
    </row>
    <row r="70" ht="28.5" customHeight="1" spans="1:29">
      <c r="A70" s="39"/>
      <c r="B70" s="94"/>
      <c r="C70" s="95"/>
      <c r="D70" s="95"/>
      <c r="E70" s="39"/>
      <c r="F70" s="39"/>
      <c r="G70" s="39"/>
      <c r="H70" s="39"/>
      <c r="I70" s="39"/>
      <c r="J70" s="143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86"/>
      <c r="AC70" s="39"/>
    </row>
    <row r="71" ht="28.5" customHeight="1" spans="1:29">
      <c r="A71" s="39"/>
      <c r="B71" s="94"/>
      <c r="C71" s="95"/>
      <c r="D71" s="95"/>
      <c r="E71" s="39"/>
      <c r="F71" s="39"/>
      <c r="G71" s="39"/>
      <c r="H71" s="39"/>
      <c r="I71" s="39"/>
      <c r="J71" s="143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86"/>
      <c r="AC71" s="39"/>
    </row>
    <row r="72" ht="28.5" customHeight="1" spans="1:29">
      <c r="A72" s="39"/>
      <c r="B72" s="94"/>
      <c r="C72" s="95"/>
      <c r="D72" s="95"/>
      <c r="E72" s="39"/>
      <c r="F72" s="39"/>
      <c r="G72" s="39"/>
      <c r="H72" s="39"/>
      <c r="I72" s="39"/>
      <c r="J72" s="143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86"/>
      <c r="AC72" s="39"/>
    </row>
    <row r="73" ht="28.5" customHeight="1" spans="1:29">
      <c r="A73" s="39"/>
      <c r="B73" s="94"/>
      <c r="C73" s="95"/>
      <c r="D73" s="95"/>
      <c r="E73" s="39"/>
      <c r="F73" s="39"/>
      <c r="G73" s="39"/>
      <c r="H73" s="39"/>
      <c r="I73" s="39"/>
      <c r="J73" s="143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86"/>
      <c r="AC73" s="39"/>
    </row>
    <row r="74" ht="28.5" customHeight="1" spans="1:29">
      <c r="A74" s="39"/>
      <c r="B74" s="94"/>
      <c r="C74" s="95"/>
      <c r="D74" s="95"/>
      <c r="E74" s="39"/>
      <c r="F74" s="39"/>
      <c r="G74" s="39"/>
      <c r="H74" s="39"/>
      <c r="I74" s="39"/>
      <c r="J74" s="143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86"/>
      <c r="AC74" s="39"/>
    </row>
    <row r="75" ht="28.5" customHeight="1" spans="1:29">
      <c r="A75" s="39"/>
      <c r="B75" s="94"/>
      <c r="C75" s="95"/>
      <c r="D75" s="95"/>
      <c r="E75" s="39"/>
      <c r="F75" s="39"/>
      <c r="G75" s="39"/>
      <c r="H75" s="39"/>
      <c r="I75" s="39"/>
      <c r="J75" s="143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86"/>
      <c r="AC75" s="39"/>
    </row>
    <row r="76" ht="28.5" customHeight="1" spans="1:29">
      <c r="A76" s="39"/>
      <c r="B76" s="94"/>
      <c r="C76" s="95"/>
      <c r="D76" s="95"/>
      <c r="E76" s="39"/>
      <c r="F76" s="39"/>
      <c r="G76" s="39"/>
      <c r="H76" s="39"/>
      <c r="I76" s="39"/>
      <c r="J76" s="143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86"/>
      <c r="AC76" s="39"/>
    </row>
    <row r="77" ht="28.5" customHeight="1" spans="1:29">
      <c r="A77" s="39"/>
      <c r="B77" s="94"/>
      <c r="C77" s="95"/>
      <c r="D77" s="95"/>
      <c r="E77" s="39"/>
      <c r="F77" s="39"/>
      <c r="G77" s="39"/>
      <c r="H77" s="39"/>
      <c r="I77" s="39"/>
      <c r="J77" s="143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86"/>
      <c r="AC77" s="39"/>
    </row>
    <row r="78" ht="28.5" customHeight="1" spans="1:29">
      <c r="A78" s="39"/>
      <c r="B78" s="94"/>
      <c r="C78" s="95"/>
      <c r="D78" s="95"/>
      <c r="E78" s="39"/>
      <c r="F78" s="39"/>
      <c r="G78" s="39"/>
      <c r="H78" s="39"/>
      <c r="I78" s="39"/>
      <c r="J78" s="143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86"/>
      <c r="AC78" s="39"/>
    </row>
    <row r="79" ht="28.5" customHeight="1" spans="1:29">
      <c r="A79" s="39"/>
      <c r="B79" s="94"/>
      <c r="C79" s="95"/>
      <c r="D79" s="95"/>
      <c r="E79" s="39"/>
      <c r="F79" s="39"/>
      <c r="G79" s="39"/>
      <c r="H79" s="39"/>
      <c r="I79" s="39"/>
      <c r="J79" s="143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86"/>
      <c r="AC79" s="39"/>
    </row>
    <row r="80" ht="28.5" customHeight="1" spans="1:29">
      <c r="A80" s="39"/>
      <c r="B80" s="94"/>
      <c r="C80" s="95"/>
      <c r="D80" s="95"/>
      <c r="E80" s="39"/>
      <c r="F80" s="39"/>
      <c r="G80" s="39"/>
      <c r="H80" s="39"/>
      <c r="I80" s="39"/>
      <c r="J80" s="143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86"/>
      <c r="AC80" s="39"/>
    </row>
    <row r="81" ht="28.5" customHeight="1" spans="1:29">
      <c r="A81" s="39"/>
      <c r="B81" s="94"/>
      <c r="C81" s="95"/>
      <c r="D81" s="95"/>
      <c r="E81" s="39"/>
      <c r="F81" s="39"/>
      <c r="G81" s="39"/>
      <c r="H81" s="39"/>
      <c r="I81" s="39"/>
      <c r="J81" s="143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86"/>
      <c r="AC81" s="39"/>
    </row>
    <row r="82" ht="28.5" customHeight="1" spans="1:29">
      <c r="A82" s="39"/>
      <c r="B82" s="94"/>
      <c r="C82" s="95"/>
      <c r="D82" s="95"/>
      <c r="E82" s="39"/>
      <c r="F82" s="39"/>
      <c r="G82" s="39"/>
      <c r="H82" s="39"/>
      <c r="I82" s="39"/>
      <c r="J82" s="143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86"/>
      <c r="AC82" s="39"/>
    </row>
    <row r="83" ht="28.5" customHeight="1" spans="1:29">
      <c r="A83" s="39"/>
      <c r="B83" s="94"/>
      <c r="C83" s="95"/>
      <c r="D83" s="95"/>
      <c r="E83" s="39"/>
      <c r="F83" s="39"/>
      <c r="G83" s="39"/>
      <c r="H83" s="39"/>
      <c r="I83" s="39"/>
      <c r="J83" s="143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86"/>
      <c r="AC83" s="39"/>
    </row>
    <row r="84" ht="28.5" customHeight="1" spans="1:29">
      <c r="A84" s="39"/>
      <c r="B84" s="94"/>
      <c r="C84" s="95"/>
      <c r="D84" s="95"/>
      <c r="E84" s="39"/>
      <c r="F84" s="39"/>
      <c r="G84" s="39"/>
      <c r="H84" s="39"/>
      <c r="I84" s="39"/>
      <c r="J84" s="143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86"/>
      <c r="AC84" s="39"/>
    </row>
    <row r="85" ht="28.5" customHeight="1" spans="1:29">
      <c r="A85" s="39"/>
      <c r="B85" s="94"/>
      <c r="C85" s="95"/>
      <c r="D85" s="95"/>
      <c r="E85" s="39"/>
      <c r="F85" s="39"/>
      <c r="G85" s="39"/>
      <c r="H85" s="39"/>
      <c r="I85" s="39"/>
      <c r="J85" s="143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86"/>
      <c r="AC85" s="39"/>
    </row>
  </sheetData>
  <mergeCells count="8">
    <mergeCell ref="A1:AC1"/>
    <mergeCell ref="A2:AC2"/>
    <mergeCell ref="C25:D25"/>
    <mergeCell ref="E25:O25"/>
    <mergeCell ref="C26:D26"/>
    <mergeCell ref="E26:O26"/>
    <mergeCell ref="P26:Z26"/>
    <mergeCell ref="AA26:AC26"/>
  </mergeCells>
  <printOptions horizontalCentered="1" gridLines="1"/>
  <pageMargins left="0.393700787401575" right="0.196850393700787" top="0.196850393700787" bottom="0.196850393700787" header="0" footer="0"/>
  <pageSetup paperSize="5" scale="9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3"/>
  <sheetViews>
    <sheetView tabSelected="1" zoomScale="70" zoomScaleNormal="70" topLeftCell="A17" workbookViewId="0">
      <selection activeCell="AF28" sqref="AF28"/>
    </sheetView>
  </sheetViews>
  <sheetFormatPr defaultColWidth="14.4272727272727" defaultRowHeight="13"/>
  <cols>
    <col min="1" max="1" width="5.57272727272727" style="43" customWidth="1"/>
    <col min="2" max="2" width="26.5727272727273" style="43" customWidth="1"/>
    <col min="3" max="3" width="17.7090909090909" style="43" customWidth="1"/>
    <col min="4" max="4" width="10.8545454545455" style="43" customWidth="1"/>
    <col min="5" max="5" width="12" style="43" customWidth="1"/>
    <col min="6" max="6" width="10.5727272727273" style="43" hidden="1" customWidth="1"/>
    <col min="7" max="7" width="9.57272727272727" style="43" hidden="1" customWidth="1"/>
    <col min="8" max="8" width="10.5727272727273" style="43" hidden="1" customWidth="1"/>
    <col min="9" max="9" width="6.42727272727273" style="43" customWidth="1"/>
    <col min="10" max="10" width="10.5727272727273" style="43" hidden="1" customWidth="1"/>
    <col min="11" max="11" width="10" style="43" hidden="1" customWidth="1"/>
    <col min="12" max="12" width="10.4272727272727" style="43" hidden="1" customWidth="1"/>
    <col min="13" max="13" width="8.28181818181818" style="43" customWidth="1"/>
    <col min="14" max="14" width="4.70909090909091" style="43" hidden="1" customWidth="1"/>
    <col min="15" max="15" width="9.57272727272727" style="43" customWidth="1"/>
    <col min="16" max="16" width="9" style="43" customWidth="1"/>
    <col min="17" max="17" width="9.13636363636364" style="43" hidden="1" customWidth="1"/>
    <col min="18" max="18" width="4.57272727272727" style="43" hidden="1" customWidth="1"/>
    <col min="19" max="19" width="9" style="43" customWidth="1"/>
    <col min="20" max="20" width="10.5727272727273" style="43" hidden="1" customWidth="1"/>
    <col min="21" max="21" width="7" style="43" customWidth="1"/>
    <col min="22" max="22" width="7.42727272727273" style="43" hidden="1" customWidth="1"/>
    <col min="23" max="23" width="7.85454545454545" style="43" hidden="1" customWidth="1"/>
    <col min="24" max="24" width="8.13636363636364" style="43" hidden="1" customWidth="1"/>
    <col min="25" max="25" width="7.42727272727273" style="43" hidden="1" customWidth="1"/>
    <col min="26" max="26" width="10.5727272727273" style="43" customWidth="1"/>
    <col min="27" max="27" width="10.4272727272727" style="43" customWidth="1"/>
    <col min="28" max="28" width="17.4272727272727" style="39" customWidth="1"/>
    <col min="29" max="29" width="15" style="39" customWidth="1"/>
    <col min="30" max="30" width="18.9636363636364" style="43" customWidth="1"/>
    <col min="31" max="16384" width="14.4272727272727" style="43"/>
  </cols>
  <sheetData>
    <row r="1" spans="1:29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6"/>
    </row>
    <row r="2" spans="1:29">
      <c r="A2" s="47" t="s">
        <v>258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9"/>
    </row>
    <row r="3" s="39" customFormat="1" ht="28.5" customHeight="1" spans="1:29">
      <c r="A3" s="50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50" t="s">
        <v>7</v>
      </c>
      <c r="G3" s="50" t="s">
        <v>8</v>
      </c>
      <c r="H3" s="50" t="s">
        <v>9</v>
      </c>
      <c r="I3" s="51" t="s">
        <v>259</v>
      </c>
      <c r="J3" s="50" t="s">
        <v>11</v>
      </c>
      <c r="K3" s="50" t="s">
        <v>12</v>
      </c>
      <c r="L3" s="50" t="s">
        <v>13</v>
      </c>
      <c r="M3" s="50" t="s">
        <v>14</v>
      </c>
      <c r="N3" s="50" t="s">
        <v>15</v>
      </c>
      <c r="O3" s="50" t="s">
        <v>149</v>
      </c>
      <c r="P3" s="50" t="s">
        <v>17</v>
      </c>
      <c r="Q3" s="50" t="s">
        <v>149</v>
      </c>
      <c r="R3" s="50" t="s">
        <v>18</v>
      </c>
      <c r="S3" s="50" t="s">
        <v>150</v>
      </c>
      <c r="T3" s="50" t="s">
        <v>20</v>
      </c>
      <c r="U3" s="50" t="s">
        <v>21</v>
      </c>
      <c r="V3" s="50" t="s">
        <v>22</v>
      </c>
      <c r="W3" s="50" t="s">
        <v>23</v>
      </c>
      <c r="X3" s="50" t="s">
        <v>24</v>
      </c>
      <c r="Y3" s="50" t="s">
        <v>151</v>
      </c>
      <c r="Z3" s="50" t="s">
        <v>26</v>
      </c>
      <c r="AA3" s="50" t="s">
        <v>27</v>
      </c>
      <c r="AB3" s="51" t="s">
        <v>28</v>
      </c>
      <c r="AC3" s="51" t="s">
        <v>29</v>
      </c>
    </row>
    <row r="4" ht="13.5" customHeight="1" spans="1:29">
      <c r="A4" s="52"/>
      <c r="B4" s="53" t="s">
        <v>30</v>
      </c>
      <c r="C4" s="54"/>
      <c r="D4" s="52"/>
      <c r="E4" s="52"/>
      <c r="F4" s="52"/>
      <c r="G4" s="52"/>
      <c r="H4" s="52"/>
      <c r="I4" s="55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5"/>
      <c r="AC4" s="56"/>
    </row>
    <row r="5" ht="13.5" customHeight="1" spans="1:29">
      <c r="A5" s="57"/>
      <c r="B5" s="53" t="s">
        <v>260</v>
      </c>
      <c r="C5" s="54"/>
      <c r="D5" s="52"/>
      <c r="E5" s="52"/>
      <c r="F5" s="52"/>
      <c r="G5" s="52"/>
      <c r="H5" s="52"/>
      <c r="I5" s="51">
        <v>31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5"/>
      <c r="AC5" s="56"/>
    </row>
    <row r="6" s="40" customFormat="1" ht="22.5" customHeight="1" spans="1:29">
      <c r="A6" s="58">
        <v>1</v>
      </c>
      <c r="B6" s="59" t="s">
        <v>261</v>
      </c>
      <c r="C6" s="60" t="s">
        <v>262</v>
      </c>
      <c r="D6" s="58">
        <v>18000</v>
      </c>
      <c r="E6" s="58">
        <v>18000</v>
      </c>
      <c r="F6" s="58"/>
      <c r="G6" s="58"/>
      <c r="H6" s="58"/>
      <c r="I6" s="61">
        <v>31</v>
      </c>
      <c r="J6" s="58"/>
      <c r="K6" s="58"/>
      <c r="L6" s="58"/>
      <c r="M6" s="58"/>
      <c r="N6" s="58"/>
      <c r="O6" s="58"/>
      <c r="P6" s="60">
        <f t="shared" ref="P6:P23" si="0">ROUNDUP(E6/I$5*I6+M6+N6+O6,0)</f>
        <v>18000</v>
      </c>
      <c r="Q6" s="60"/>
      <c r="R6" s="60"/>
      <c r="S6" s="60">
        <f t="shared" ref="S6:S23" si="1">IF(P6&gt;20001,200,IF(P6&gt;15001,150,IF(P6&lt;15000,0,)))</f>
        <v>150</v>
      </c>
      <c r="T6" s="60"/>
      <c r="U6" s="60">
        <f t="shared" ref="U6:U23" si="2">IF(P6,IF(1,30),IF(1,0))</f>
        <v>30</v>
      </c>
      <c r="V6" s="60"/>
      <c r="W6" s="60"/>
      <c r="X6" s="60"/>
      <c r="Y6" s="60"/>
      <c r="Z6" s="60">
        <f t="shared" ref="Z6:Z13" si="3">SUM(R6:Y6)</f>
        <v>180</v>
      </c>
      <c r="AA6" s="60">
        <f t="shared" ref="AA6:AA23" si="4">P6-Z6</f>
        <v>17820</v>
      </c>
      <c r="AB6" s="194" t="s">
        <v>263</v>
      </c>
      <c r="AC6" s="63" t="s">
        <v>264</v>
      </c>
    </row>
    <row r="7" ht="22.5" customHeight="1" spans="1:29">
      <c r="A7" s="52">
        <v>2</v>
      </c>
      <c r="B7" s="64" t="s">
        <v>265</v>
      </c>
      <c r="C7" s="54" t="s">
        <v>266</v>
      </c>
      <c r="D7" s="54">
        <v>11000</v>
      </c>
      <c r="E7" s="54">
        <v>11000</v>
      </c>
      <c r="F7" s="52"/>
      <c r="G7" s="52"/>
      <c r="H7" s="52"/>
      <c r="I7" s="65">
        <v>31</v>
      </c>
      <c r="J7" s="52"/>
      <c r="K7" s="52"/>
      <c r="L7" s="52"/>
      <c r="M7" s="52"/>
      <c r="N7" s="52"/>
      <c r="O7" s="52"/>
      <c r="P7" s="54">
        <f t="shared" si="0"/>
        <v>11000</v>
      </c>
      <c r="Q7" s="54"/>
      <c r="R7" s="54"/>
      <c r="S7" s="54">
        <f t="shared" si="1"/>
        <v>0</v>
      </c>
      <c r="T7" s="54"/>
      <c r="U7" s="54">
        <f t="shared" si="2"/>
        <v>30</v>
      </c>
      <c r="V7" s="54"/>
      <c r="W7" s="54"/>
      <c r="X7" s="54"/>
      <c r="Y7" s="54"/>
      <c r="Z7" s="54">
        <f t="shared" si="3"/>
        <v>30</v>
      </c>
      <c r="AA7" s="54">
        <f t="shared" si="4"/>
        <v>10970</v>
      </c>
      <c r="AB7" s="182" t="s">
        <v>267</v>
      </c>
      <c r="AC7" s="56" t="s">
        <v>35</v>
      </c>
    </row>
    <row r="8" ht="22.5" customHeight="1" spans="1:29">
      <c r="A8" s="52">
        <v>3</v>
      </c>
      <c r="B8" s="64" t="s">
        <v>268</v>
      </c>
      <c r="C8" s="54" t="s">
        <v>269</v>
      </c>
      <c r="D8" s="52">
        <v>8000</v>
      </c>
      <c r="E8" s="52">
        <v>8000</v>
      </c>
      <c r="F8" s="52"/>
      <c r="G8" s="52"/>
      <c r="H8" s="52"/>
      <c r="I8" s="65">
        <v>30</v>
      </c>
      <c r="J8" s="52"/>
      <c r="K8" s="52"/>
      <c r="L8" s="52"/>
      <c r="M8" s="52"/>
      <c r="N8" s="52"/>
      <c r="O8" s="52"/>
      <c r="P8" s="54">
        <f t="shared" si="0"/>
        <v>7742</v>
      </c>
      <c r="Q8" s="54"/>
      <c r="R8" s="54"/>
      <c r="S8" s="54">
        <f t="shared" si="1"/>
        <v>0</v>
      </c>
      <c r="T8" s="54"/>
      <c r="U8" s="54">
        <f t="shared" si="2"/>
        <v>30</v>
      </c>
      <c r="V8" s="54"/>
      <c r="W8" s="54"/>
      <c r="X8" s="54"/>
      <c r="Y8" s="54"/>
      <c r="Z8" s="54">
        <f t="shared" si="3"/>
        <v>30</v>
      </c>
      <c r="AA8" s="54">
        <f t="shared" si="4"/>
        <v>7712</v>
      </c>
      <c r="AB8" s="182" t="s">
        <v>270</v>
      </c>
      <c r="AC8" s="56" t="s">
        <v>35</v>
      </c>
    </row>
    <row r="9" ht="22.5" customHeight="1" spans="1:29">
      <c r="A9" s="58">
        <v>4</v>
      </c>
      <c r="B9" s="64" t="s">
        <v>271</v>
      </c>
      <c r="C9" s="54" t="s">
        <v>272</v>
      </c>
      <c r="D9" s="52">
        <v>22000</v>
      </c>
      <c r="E9" s="52">
        <v>22000</v>
      </c>
      <c r="F9" s="52"/>
      <c r="G9" s="52"/>
      <c r="H9" s="52"/>
      <c r="I9" s="65">
        <v>31</v>
      </c>
      <c r="J9" s="52"/>
      <c r="K9" s="52"/>
      <c r="L9" s="52"/>
      <c r="M9" s="52"/>
      <c r="N9" s="52"/>
      <c r="O9" s="52"/>
      <c r="P9" s="54">
        <f t="shared" si="0"/>
        <v>22000</v>
      </c>
      <c r="Q9" s="54"/>
      <c r="R9" s="54"/>
      <c r="S9" s="54">
        <f t="shared" si="1"/>
        <v>200</v>
      </c>
      <c r="T9" s="54"/>
      <c r="U9" s="54">
        <f t="shared" si="2"/>
        <v>30</v>
      </c>
      <c r="V9" s="54"/>
      <c r="W9" s="54"/>
      <c r="X9" s="54"/>
      <c r="Y9" s="54"/>
      <c r="Z9" s="54">
        <f t="shared" si="3"/>
        <v>230</v>
      </c>
      <c r="AA9" s="54">
        <f t="shared" si="4"/>
        <v>21770</v>
      </c>
      <c r="AB9" s="182" t="s">
        <v>273</v>
      </c>
      <c r="AC9" s="56" t="s">
        <v>61</v>
      </c>
    </row>
    <row r="10" ht="22.5" customHeight="1" spans="1:29">
      <c r="A10" s="52">
        <v>5</v>
      </c>
      <c r="B10" s="64" t="s">
        <v>274</v>
      </c>
      <c r="C10" s="54" t="s">
        <v>269</v>
      </c>
      <c r="D10" s="52">
        <v>8000</v>
      </c>
      <c r="E10" s="52">
        <v>8000</v>
      </c>
      <c r="F10" s="52"/>
      <c r="G10" s="52"/>
      <c r="H10" s="52"/>
      <c r="I10" s="65">
        <v>31</v>
      </c>
      <c r="J10" s="52"/>
      <c r="K10" s="52"/>
      <c r="L10" s="52"/>
      <c r="M10" s="52"/>
      <c r="N10" s="52"/>
      <c r="O10" s="52"/>
      <c r="P10" s="54">
        <f t="shared" si="0"/>
        <v>8000</v>
      </c>
      <c r="Q10" s="54"/>
      <c r="R10" s="54"/>
      <c r="S10" s="54">
        <f t="shared" si="1"/>
        <v>0</v>
      </c>
      <c r="T10" s="54"/>
      <c r="U10" s="54">
        <f t="shared" si="2"/>
        <v>30</v>
      </c>
      <c r="V10" s="54"/>
      <c r="W10" s="54"/>
      <c r="X10" s="54"/>
      <c r="Y10" s="54"/>
      <c r="Z10" s="54">
        <f t="shared" si="3"/>
        <v>30</v>
      </c>
      <c r="AA10" s="54">
        <f t="shared" si="4"/>
        <v>7970</v>
      </c>
      <c r="AB10" s="182" t="s">
        <v>275</v>
      </c>
      <c r="AC10" s="56" t="s">
        <v>35</v>
      </c>
    </row>
    <row r="11" ht="22.5" customHeight="1" spans="1:29">
      <c r="A11" s="52">
        <v>6</v>
      </c>
      <c r="B11" s="64" t="s">
        <v>276</v>
      </c>
      <c r="C11" s="54" t="s">
        <v>277</v>
      </c>
      <c r="D11" s="52">
        <v>15000</v>
      </c>
      <c r="E11" s="52">
        <v>15000</v>
      </c>
      <c r="F11" s="52"/>
      <c r="G11" s="52"/>
      <c r="H11" s="52"/>
      <c r="I11" s="65">
        <v>31</v>
      </c>
      <c r="J11" s="52"/>
      <c r="K11" s="52"/>
      <c r="L11" s="52"/>
      <c r="M11" s="52"/>
      <c r="N11" s="52"/>
      <c r="O11" s="52"/>
      <c r="P11" s="54">
        <f t="shared" si="0"/>
        <v>15000</v>
      </c>
      <c r="Q11" s="54"/>
      <c r="R11" s="54"/>
      <c r="S11" s="54">
        <f t="shared" si="1"/>
        <v>0</v>
      </c>
      <c r="T11" s="54"/>
      <c r="U11" s="54">
        <f t="shared" si="2"/>
        <v>30</v>
      </c>
      <c r="V11" s="54"/>
      <c r="W11" s="54"/>
      <c r="X11" s="54"/>
      <c r="Y11" s="54"/>
      <c r="Z11" s="54">
        <f t="shared" si="3"/>
        <v>30</v>
      </c>
      <c r="AA11" s="54">
        <f t="shared" si="4"/>
        <v>14970</v>
      </c>
      <c r="AB11" s="183" t="s">
        <v>278</v>
      </c>
      <c r="AC11" s="56" t="s">
        <v>137</v>
      </c>
    </row>
    <row r="12" ht="22.5" customHeight="1" spans="1:29">
      <c r="A12" s="58">
        <v>7</v>
      </c>
      <c r="B12" s="64" t="s">
        <v>279</v>
      </c>
      <c r="C12" s="54" t="s">
        <v>280</v>
      </c>
      <c r="D12" s="52">
        <v>18000</v>
      </c>
      <c r="E12" s="52">
        <v>18000</v>
      </c>
      <c r="F12" s="52"/>
      <c r="G12" s="52"/>
      <c r="H12" s="52"/>
      <c r="I12" s="65">
        <v>28</v>
      </c>
      <c r="J12" s="52"/>
      <c r="K12" s="52"/>
      <c r="L12" s="52"/>
      <c r="M12" s="52"/>
      <c r="N12" s="52"/>
      <c r="O12" s="52"/>
      <c r="P12" s="54">
        <f t="shared" si="0"/>
        <v>16259</v>
      </c>
      <c r="Q12" s="54"/>
      <c r="R12" s="54"/>
      <c r="S12" s="54">
        <f t="shared" si="1"/>
        <v>150</v>
      </c>
      <c r="T12" s="54"/>
      <c r="U12" s="54">
        <f t="shared" si="2"/>
        <v>30</v>
      </c>
      <c r="V12" s="54"/>
      <c r="W12" s="54"/>
      <c r="X12" s="54"/>
      <c r="Y12" s="54"/>
      <c r="Z12" s="54">
        <f t="shared" si="3"/>
        <v>180</v>
      </c>
      <c r="AA12" s="54">
        <f t="shared" si="4"/>
        <v>16079</v>
      </c>
      <c r="AB12" s="183" t="s">
        <v>281</v>
      </c>
      <c r="AC12" s="56" t="s">
        <v>61</v>
      </c>
    </row>
    <row r="13" ht="22.5" customHeight="1" spans="1:29">
      <c r="A13" s="52">
        <v>8</v>
      </c>
      <c r="B13" s="64" t="s">
        <v>282</v>
      </c>
      <c r="C13" s="54" t="s">
        <v>283</v>
      </c>
      <c r="D13" s="52">
        <v>15500</v>
      </c>
      <c r="E13" s="52">
        <v>15500</v>
      </c>
      <c r="F13" s="52"/>
      <c r="G13" s="52"/>
      <c r="H13" s="52"/>
      <c r="I13" s="65">
        <v>31</v>
      </c>
      <c r="J13" s="52"/>
      <c r="K13" s="52"/>
      <c r="L13" s="52"/>
      <c r="M13" s="52"/>
      <c r="N13" s="52"/>
      <c r="O13" s="52"/>
      <c r="P13" s="54">
        <f t="shared" si="0"/>
        <v>15500</v>
      </c>
      <c r="Q13" s="54"/>
      <c r="R13" s="54"/>
      <c r="S13" s="54">
        <f t="shared" si="1"/>
        <v>150</v>
      </c>
      <c r="T13" s="54"/>
      <c r="U13" s="54">
        <f t="shared" si="2"/>
        <v>30</v>
      </c>
      <c r="V13" s="54"/>
      <c r="W13" s="54"/>
      <c r="X13" s="54"/>
      <c r="Y13" s="54"/>
      <c r="Z13" s="54">
        <f t="shared" si="3"/>
        <v>180</v>
      </c>
      <c r="AA13" s="54">
        <f t="shared" si="4"/>
        <v>15320</v>
      </c>
      <c r="AB13" s="183" t="s">
        <v>284</v>
      </c>
      <c r="AC13" s="56" t="s">
        <v>285</v>
      </c>
    </row>
    <row r="14" ht="22.5" customHeight="1" spans="1:29">
      <c r="A14" s="52">
        <v>9</v>
      </c>
      <c r="B14" s="66" t="s">
        <v>286</v>
      </c>
      <c r="C14" s="67" t="s">
        <v>287</v>
      </c>
      <c r="D14" s="68">
        <v>15000</v>
      </c>
      <c r="E14" s="68">
        <v>15000</v>
      </c>
      <c r="F14" s="68"/>
      <c r="G14" s="68"/>
      <c r="H14" s="68"/>
      <c r="I14" s="69">
        <v>30</v>
      </c>
      <c r="J14" s="68"/>
      <c r="K14" s="68"/>
      <c r="L14" s="68"/>
      <c r="M14" s="68"/>
      <c r="N14" s="68"/>
      <c r="O14" s="68"/>
      <c r="P14" s="67">
        <f t="shared" si="0"/>
        <v>14517</v>
      </c>
      <c r="Q14" s="67"/>
      <c r="R14" s="67"/>
      <c r="S14" s="54">
        <f t="shared" si="1"/>
        <v>0</v>
      </c>
      <c r="T14" s="67"/>
      <c r="U14" s="67">
        <f t="shared" si="2"/>
        <v>30</v>
      </c>
      <c r="V14" s="67"/>
      <c r="W14" s="67"/>
      <c r="X14" s="67"/>
      <c r="Y14" s="67"/>
      <c r="Z14" s="67">
        <f>IF(U14,IF(1,30),IF(1,0))</f>
        <v>30</v>
      </c>
      <c r="AA14" s="67">
        <f t="shared" si="4"/>
        <v>14487</v>
      </c>
      <c r="AB14" s="195" t="s">
        <v>288</v>
      </c>
      <c r="AC14" s="71" t="s">
        <v>87</v>
      </c>
    </row>
    <row r="15" ht="22.5" customHeight="1" spans="1:29">
      <c r="A15" s="58">
        <v>10</v>
      </c>
      <c r="B15" s="64" t="s">
        <v>289</v>
      </c>
      <c r="C15" s="54" t="s">
        <v>290</v>
      </c>
      <c r="D15" s="52">
        <v>16500</v>
      </c>
      <c r="E15" s="52">
        <v>16500</v>
      </c>
      <c r="F15" s="52"/>
      <c r="G15" s="52"/>
      <c r="H15" s="52"/>
      <c r="I15" s="65">
        <v>29</v>
      </c>
      <c r="J15" s="52"/>
      <c r="K15" s="52"/>
      <c r="L15" s="52"/>
      <c r="M15" s="52"/>
      <c r="N15" s="52"/>
      <c r="O15" s="52"/>
      <c r="P15" s="54">
        <f t="shared" si="0"/>
        <v>15436</v>
      </c>
      <c r="Q15" s="54"/>
      <c r="R15" s="54"/>
      <c r="S15" s="54">
        <f t="shared" si="1"/>
        <v>150</v>
      </c>
      <c r="T15" s="54"/>
      <c r="U15" s="54">
        <f t="shared" si="2"/>
        <v>30</v>
      </c>
      <c r="V15" s="54"/>
      <c r="W15" s="54"/>
      <c r="X15" s="54"/>
      <c r="Y15" s="54"/>
      <c r="Z15" s="54">
        <f>IF(U15,IF(1,30),IF(1,0))</f>
        <v>30</v>
      </c>
      <c r="AA15" s="54">
        <f t="shared" si="4"/>
        <v>15406</v>
      </c>
      <c r="AB15" s="184" t="s">
        <v>291</v>
      </c>
      <c r="AC15" s="72" t="s">
        <v>61</v>
      </c>
    </row>
    <row r="16" ht="22.5" customHeight="1" spans="1:29">
      <c r="A16" s="52">
        <v>11</v>
      </c>
      <c r="B16" s="64" t="s">
        <v>292</v>
      </c>
      <c r="C16" s="54" t="s">
        <v>269</v>
      </c>
      <c r="D16" s="52">
        <v>8000</v>
      </c>
      <c r="E16" s="52">
        <v>8000</v>
      </c>
      <c r="F16" s="52"/>
      <c r="G16" s="52"/>
      <c r="H16" s="52"/>
      <c r="I16" s="65">
        <v>25</v>
      </c>
      <c r="J16" s="52"/>
      <c r="K16" s="52"/>
      <c r="L16" s="52"/>
      <c r="M16" s="52"/>
      <c r="N16" s="52"/>
      <c r="O16" s="52"/>
      <c r="P16" s="54">
        <f t="shared" si="0"/>
        <v>6452</v>
      </c>
      <c r="Q16" s="54"/>
      <c r="R16" s="54"/>
      <c r="S16" s="54">
        <f t="shared" si="1"/>
        <v>0</v>
      </c>
      <c r="T16" s="54"/>
      <c r="U16" s="54">
        <f t="shared" si="2"/>
        <v>30</v>
      </c>
      <c r="V16" s="54"/>
      <c r="W16" s="54"/>
      <c r="X16" s="54"/>
      <c r="Y16" s="54"/>
      <c r="Z16" s="54">
        <f t="shared" ref="Z16:Z23" si="5">SUM(R16:Y16)</f>
        <v>30</v>
      </c>
      <c r="AA16" s="54">
        <f t="shared" si="4"/>
        <v>6422</v>
      </c>
      <c r="AB16" s="184" t="s">
        <v>293</v>
      </c>
      <c r="AC16" s="72" t="s">
        <v>190</v>
      </c>
    </row>
    <row r="17" ht="22.5" customHeight="1" spans="1:30">
      <c r="A17" s="52">
        <v>12</v>
      </c>
      <c r="B17" s="64" t="s">
        <v>294</v>
      </c>
      <c r="C17" s="54" t="s">
        <v>295</v>
      </c>
      <c r="D17" s="52">
        <v>15000</v>
      </c>
      <c r="E17" s="52">
        <v>15000</v>
      </c>
      <c r="F17" s="52"/>
      <c r="G17" s="52"/>
      <c r="H17" s="52"/>
      <c r="I17" s="65">
        <v>31</v>
      </c>
      <c r="J17" s="52"/>
      <c r="K17" s="52"/>
      <c r="L17" s="52"/>
      <c r="M17" s="52"/>
      <c r="N17" s="52"/>
      <c r="O17" s="52"/>
      <c r="P17" s="54">
        <f t="shared" si="0"/>
        <v>15000</v>
      </c>
      <c r="Q17" s="54"/>
      <c r="R17" s="54"/>
      <c r="S17" s="54">
        <f t="shared" si="1"/>
        <v>0</v>
      </c>
      <c r="T17" s="54"/>
      <c r="U17" s="54">
        <f t="shared" si="2"/>
        <v>30</v>
      </c>
      <c r="V17" s="54"/>
      <c r="W17" s="54"/>
      <c r="X17" s="54"/>
      <c r="Y17" s="54"/>
      <c r="Z17" s="54">
        <f t="shared" si="5"/>
        <v>30</v>
      </c>
      <c r="AA17" s="54">
        <f t="shared" si="4"/>
        <v>14970</v>
      </c>
      <c r="AB17" s="184" t="s">
        <v>296</v>
      </c>
      <c r="AC17" s="72" t="s">
        <v>64</v>
      </c>
    </row>
    <row r="18" s="40" customFormat="1" ht="22.5" customHeight="1" spans="1:30">
      <c r="A18" s="58">
        <v>13</v>
      </c>
      <c r="B18" s="73" t="s">
        <v>297</v>
      </c>
      <c r="C18" s="60" t="s">
        <v>290</v>
      </c>
      <c r="D18" s="58">
        <v>16000</v>
      </c>
      <c r="E18" s="58">
        <v>16000</v>
      </c>
      <c r="F18" s="58"/>
      <c r="G18" s="58"/>
      <c r="H18" s="58"/>
      <c r="I18" s="61">
        <v>31</v>
      </c>
      <c r="J18" s="58"/>
      <c r="K18" s="58"/>
      <c r="L18" s="58"/>
      <c r="M18" s="58"/>
      <c r="N18" s="58"/>
      <c r="O18" s="58"/>
      <c r="P18" s="60">
        <f t="shared" si="0"/>
        <v>16000</v>
      </c>
      <c r="Q18" s="60"/>
      <c r="R18" s="60"/>
      <c r="S18" s="60">
        <f t="shared" si="1"/>
        <v>150</v>
      </c>
      <c r="T18" s="60"/>
      <c r="U18" s="60">
        <f t="shared" si="2"/>
        <v>30</v>
      </c>
      <c r="V18" s="60"/>
      <c r="W18" s="60"/>
      <c r="X18" s="60"/>
      <c r="Y18" s="60"/>
      <c r="Z18" s="60">
        <f t="shared" si="5"/>
        <v>180</v>
      </c>
      <c r="AA18" s="60">
        <f t="shared" si="4"/>
        <v>15820</v>
      </c>
      <c r="AB18" s="196" t="s">
        <v>298</v>
      </c>
      <c r="AC18" s="74" t="s">
        <v>299</v>
      </c>
    </row>
    <row r="19" ht="22.5" customHeight="1" spans="1:30">
      <c r="A19" s="52">
        <v>14</v>
      </c>
      <c r="B19" s="64" t="s">
        <v>300</v>
      </c>
      <c r="C19" s="54" t="s">
        <v>301</v>
      </c>
      <c r="D19" s="52">
        <v>16000</v>
      </c>
      <c r="E19" s="52">
        <v>16000</v>
      </c>
      <c r="F19" s="52"/>
      <c r="G19" s="52"/>
      <c r="H19" s="52"/>
      <c r="I19" s="65">
        <v>31</v>
      </c>
      <c r="J19" s="52"/>
      <c r="K19" s="52"/>
      <c r="L19" s="52"/>
      <c r="M19" s="52"/>
      <c r="N19" s="52"/>
      <c r="O19" s="52"/>
      <c r="P19" s="54">
        <f t="shared" si="0"/>
        <v>16000</v>
      </c>
      <c r="Q19" s="54"/>
      <c r="R19" s="54"/>
      <c r="S19" s="54">
        <f t="shared" si="1"/>
        <v>150</v>
      </c>
      <c r="T19" s="54"/>
      <c r="U19" s="54">
        <f t="shared" si="2"/>
        <v>30</v>
      </c>
      <c r="V19" s="54"/>
      <c r="W19" s="54"/>
      <c r="X19" s="54"/>
      <c r="Y19" s="54"/>
      <c r="Z19" s="54">
        <f t="shared" si="5"/>
        <v>180</v>
      </c>
      <c r="AA19" s="54">
        <f t="shared" si="4"/>
        <v>15820</v>
      </c>
      <c r="AB19" s="184" t="s">
        <v>302</v>
      </c>
      <c r="AC19" s="72" t="s">
        <v>303</v>
      </c>
    </row>
    <row r="20" ht="22.5" customHeight="1" spans="1:30">
      <c r="A20" s="52">
        <v>15</v>
      </c>
      <c r="B20" s="64" t="s">
        <v>304</v>
      </c>
      <c r="C20" s="54" t="s">
        <v>301</v>
      </c>
      <c r="D20" s="52">
        <v>16500</v>
      </c>
      <c r="E20" s="52">
        <v>16500</v>
      </c>
      <c r="F20" s="52"/>
      <c r="G20" s="52"/>
      <c r="H20" s="52"/>
      <c r="I20" s="65">
        <v>26</v>
      </c>
      <c r="J20" s="52"/>
      <c r="K20" s="52"/>
      <c r="L20" s="52"/>
      <c r="M20" s="52"/>
      <c r="N20" s="52"/>
      <c r="O20" s="52"/>
      <c r="P20" s="54">
        <f t="shared" si="0"/>
        <v>13839</v>
      </c>
      <c r="Q20" s="54"/>
      <c r="R20" s="54"/>
      <c r="S20" s="54">
        <f t="shared" si="1"/>
        <v>0</v>
      </c>
      <c r="T20" s="54"/>
      <c r="U20" s="54">
        <f t="shared" si="2"/>
        <v>30</v>
      </c>
      <c r="V20" s="54"/>
      <c r="W20" s="54"/>
      <c r="X20" s="54"/>
      <c r="Y20" s="54"/>
      <c r="Z20" s="54">
        <f t="shared" si="5"/>
        <v>30</v>
      </c>
      <c r="AA20" s="54">
        <f t="shared" si="4"/>
        <v>13809</v>
      </c>
      <c r="AB20" s="184" t="s">
        <v>305</v>
      </c>
      <c r="AC20" s="72" t="s">
        <v>306</v>
      </c>
      <c r="AD20" s="43" t="s">
        <v>68</v>
      </c>
    </row>
    <row r="21" ht="22.5" customHeight="1" spans="1:30">
      <c r="A21" s="58">
        <v>16</v>
      </c>
      <c r="B21" s="64" t="s">
        <v>307</v>
      </c>
      <c r="C21" s="54" t="s">
        <v>301</v>
      </c>
      <c r="D21" s="52">
        <v>15000</v>
      </c>
      <c r="E21" s="52">
        <v>15000</v>
      </c>
      <c r="F21" s="52"/>
      <c r="G21" s="52"/>
      <c r="H21" s="52"/>
      <c r="I21" s="65">
        <v>12</v>
      </c>
      <c r="J21" s="52"/>
      <c r="K21" s="52"/>
      <c r="L21" s="52"/>
      <c r="M21" s="52"/>
      <c r="N21" s="52"/>
      <c r="O21" s="52"/>
      <c r="P21" s="54">
        <f t="shared" si="0"/>
        <v>5807</v>
      </c>
      <c r="Q21" s="54"/>
      <c r="R21" s="54"/>
      <c r="S21" s="54">
        <f t="shared" si="1"/>
        <v>0</v>
      </c>
      <c r="T21" s="54"/>
      <c r="U21" s="54">
        <f t="shared" si="2"/>
        <v>30</v>
      </c>
      <c r="V21" s="54"/>
      <c r="W21" s="54"/>
      <c r="X21" s="54"/>
      <c r="Y21" s="54"/>
      <c r="Z21" s="54">
        <f t="shared" si="5"/>
        <v>30</v>
      </c>
      <c r="AA21" s="54">
        <f t="shared" si="4"/>
        <v>5777</v>
      </c>
      <c r="AB21" s="184" t="s">
        <v>308</v>
      </c>
      <c r="AC21" s="72" t="s">
        <v>61</v>
      </c>
      <c r="AD21" s="43" t="s">
        <v>309</v>
      </c>
    </row>
    <row r="22" ht="22.5" customHeight="1" spans="1:30">
      <c r="A22" s="52">
        <v>17</v>
      </c>
      <c r="B22" s="64" t="s">
        <v>310</v>
      </c>
      <c r="C22" s="54" t="s">
        <v>301</v>
      </c>
      <c r="D22" s="52">
        <v>18000</v>
      </c>
      <c r="E22" s="52">
        <v>18000</v>
      </c>
      <c r="F22" s="52"/>
      <c r="G22" s="52"/>
      <c r="H22" s="52"/>
      <c r="I22" s="65">
        <v>12</v>
      </c>
      <c r="J22" s="52"/>
      <c r="K22" s="52"/>
      <c r="L22" s="52"/>
      <c r="M22" s="52"/>
      <c r="N22" s="52"/>
      <c r="O22" s="52"/>
      <c r="P22" s="54">
        <f t="shared" si="0"/>
        <v>6968</v>
      </c>
      <c r="Q22" s="54"/>
      <c r="R22" s="54"/>
      <c r="S22" s="54">
        <f t="shared" si="1"/>
        <v>0</v>
      </c>
      <c r="T22" s="54"/>
      <c r="U22" s="54">
        <f t="shared" si="2"/>
        <v>30</v>
      </c>
      <c r="V22" s="54"/>
      <c r="W22" s="54"/>
      <c r="X22" s="54"/>
      <c r="Y22" s="54"/>
      <c r="Z22" s="54">
        <f t="shared" si="5"/>
        <v>30</v>
      </c>
      <c r="AA22" s="54">
        <f t="shared" si="4"/>
        <v>6938</v>
      </c>
      <c r="AB22" s="184" t="s">
        <v>311</v>
      </c>
      <c r="AC22" s="72" t="s">
        <v>312</v>
      </c>
      <c r="AD22" s="43" t="s">
        <v>199</v>
      </c>
    </row>
    <row r="23" ht="22.5" customHeight="1" spans="1:30">
      <c r="A23" s="75">
        <v>18</v>
      </c>
      <c r="B23" s="76" t="s">
        <v>313</v>
      </c>
      <c r="C23" s="77" t="s">
        <v>314</v>
      </c>
      <c r="D23" s="75">
        <v>30000</v>
      </c>
      <c r="E23" s="75">
        <v>30000</v>
      </c>
      <c r="F23" s="75"/>
      <c r="G23" s="75"/>
      <c r="H23" s="75"/>
      <c r="I23" s="78">
        <v>31</v>
      </c>
      <c r="J23" s="75"/>
      <c r="K23" s="75"/>
      <c r="L23" s="75"/>
      <c r="M23" s="75"/>
      <c r="N23" s="75"/>
      <c r="O23" s="75"/>
      <c r="P23" s="77">
        <f t="shared" si="0"/>
        <v>30000</v>
      </c>
      <c r="Q23" s="77"/>
      <c r="R23" s="77"/>
      <c r="S23" s="77">
        <f t="shared" si="1"/>
        <v>200</v>
      </c>
      <c r="T23" s="77"/>
      <c r="U23" s="77">
        <f t="shared" si="2"/>
        <v>30</v>
      </c>
      <c r="V23" s="77"/>
      <c r="W23" s="77"/>
      <c r="X23" s="77"/>
      <c r="Y23" s="77"/>
      <c r="Z23" s="77">
        <f t="shared" si="5"/>
        <v>230</v>
      </c>
      <c r="AA23" s="77">
        <f t="shared" si="4"/>
        <v>29770</v>
      </c>
      <c r="AB23" s="197" t="s">
        <v>315</v>
      </c>
      <c r="AC23" s="79" t="s">
        <v>316</v>
      </c>
    </row>
    <row r="24" ht="22.5" customHeight="1" spans="1:30">
      <c r="A24" s="52"/>
      <c r="B24" s="80" t="s">
        <v>9</v>
      </c>
      <c r="C24" s="81"/>
      <c r="D24" s="57">
        <f>SUM(D6:D23)</f>
        <v>281500</v>
      </c>
      <c r="E24" s="57">
        <f>SUM(E6:E23)</f>
        <v>281500</v>
      </c>
      <c r="F24" s="57">
        <f>SUM(F6:F23)</f>
        <v>0</v>
      </c>
      <c r="G24" s="57">
        <f>SUM(G6:G23)</f>
        <v>0</v>
      </c>
      <c r="H24" s="57">
        <f>SUM(H6:H23)</f>
        <v>0</v>
      </c>
      <c r="I24" s="57"/>
      <c r="J24" s="57">
        <f t="shared" ref="J24:AA24" si="6">SUM(J6:J23)</f>
        <v>0</v>
      </c>
      <c r="K24" s="57">
        <f t="shared" si="6"/>
        <v>0</v>
      </c>
      <c r="L24" s="57">
        <f t="shared" si="6"/>
        <v>0</v>
      </c>
      <c r="M24" s="57">
        <f t="shared" si="6"/>
        <v>0</v>
      </c>
      <c r="N24" s="57">
        <f t="shared" si="6"/>
        <v>0</v>
      </c>
      <c r="O24" s="57">
        <f t="shared" si="6"/>
        <v>0</v>
      </c>
      <c r="P24" s="57">
        <f t="shared" si="6"/>
        <v>253520</v>
      </c>
      <c r="Q24" s="57">
        <f t="shared" si="6"/>
        <v>0</v>
      </c>
      <c r="R24" s="57">
        <f t="shared" si="6"/>
        <v>0</v>
      </c>
      <c r="S24" s="57">
        <f t="shared" si="6"/>
        <v>1300</v>
      </c>
      <c r="T24" s="57">
        <f t="shared" si="6"/>
        <v>0</v>
      </c>
      <c r="U24" s="57">
        <f t="shared" si="6"/>
        <v>540</v>
      </c>
      <c r="V24" s="57">
        <f t="shared" si="6"/>
        <v>0</v>
      </c>
      <c r="W24" s="57">
        <f t="shared" si="6"/>
        <v>0</v>
      </c>
      <c r="X24" s="57">
        <f t="shared" si="6"/>
        <v>0</v>
      </c>
      <c r="Y24" s="57">
        <f t="shared" si="6"/>
        <v>0</v>
      </c>
      <c r="Z24" s="57">
        <f t="shared" si="6"/>
        <v>1690</v>
      </c>
      <c r="AA24" s="57">
        <f t="shared" si="6"/>
        <v>251830</v>
      </c>
      <c r="AB24" s="55"/>
      <c r="AC24" s="56"/>
    </row>
    <row r="25" ht="26.25" customHeight="1" spans="1:30">
      <c r="A25" s="82"/>
      <c r="B25" s="83"/>
      <c r="C25" s="84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6"/>
      <c r="AD25" s="87"/>
    </row>
    <row r="26" s="41" customFormat="1" ht="66" customHeight="1" spans="1:30">
      <c r="A26" s="88"/>
      <c r="B26" s="89" t="s">
        <v>141</v>
      </c>
      <c r="C26" s="89" t="s">
        <v>142</v>
      </c>
      <c r="D26" s="89"/>
      <c r="E26" s="89" t="s">
        <v>142</v>
      </c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</row>
    <row r="27" s="42" customFormat="1" ht="28.5" customHeight="1" spans="1:30">
      <c r="A27" s="91"/>
      <c r="B27" s="92" t="s">
        <v>143</v>
      </c>
      <c r="C27" s="93" t="s">
        <v>144</v>
      </c>
      <c r="D27" s="93"/>
      <c r="E27" s="93" t="s">
        <v>145</v>
      </c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 t="s">
        <v>146</v>
      </c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 t="s">
        <v>147</v>
      </c>
      <c r="AB27" s="93"/>
      <c r="AC27" s="93"/>
    </row>
    <row r="28" ht="28.5" customHeight="1" spans="1:30">
      <c r="A28" s="39"/>
      <c r="B28" s="94"/>
      <c r="C28" s="95"/>
      <c r="D28" s="39"/>
      <c r="E28" s="39"/>
      <c r="F28" s="39"/>
      <c r="G28" s="39"/>
      <c r="H28" s="39"/>
      <c r="I28" s="86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86"/>
    </row>
    <row r="29" ht="28.5" customHeight="1" spans="1:30">
      <c r="A29" s="39"/>
      <c r="B29" s="94"/>
      <c r="C29" s="95"/>
      <c r="D29" s="39"/>
      <c r="E29" s="39"/>
      <c r="F29" s="39"/>
      <c r="G29" s="39"/>
      <c r="H29" s="39"/>
      <c r="I29" s="86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86"/>
    </row>
    <row r="30" ht="28.5" customHeight="1" spans="1:30">
      <c r="A30" s="39"/>
      <c r="B30" s="94"/>
      <c r="C30" s="95"/>
      <c r="D30" s="39"/>
      <c r="E30" s="39"/>
      <c r="F30" s="39"/>
      <c r="G30" s="39"/>
      <c r="H30" s="39"/>
      <c r="I30" s="86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86"/>
    </row>
    <row r="31" ht="28.5" customHeight="1" spans="1:30">
      <c r="A31" s="39"/>
      <c r="B31" s="94"/>
      <c r="C31" s="95"/>
      <c r="D31" s="39"/>
      <c r="E31" s="39"/>
      <c r="F31" s="39"/>
      <c r="G31" s="39"/>
      <c r="H31" s="39"/>
      <c r="I31" s="86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86"/>
    </row>
    <row r="32" ht="28.5" customHeight="1" spans="1:30">
      <c r="A32" s="39"/>
      <c r="B32" s="94"/>
      <c r="C32" s="95"/>
      <c r="D32" s="39"/>
      <c r="E32" s="39"/>
      <c r="F32" s="39"/>
      <c r="G32" s="39"/>
      <c r="H32" s="39"/>
      <c r="I32" s="86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86"/>
    </row>
    <row r="33" ht="28.5" customHeight="1" spans="1:28">
      <c r="A33" s="39"/>
      <c r="B33" s="94"/>
      <c r="C33" s="95"/>
      <c r="D33" s="39"/>
      <c r="E33" s="39"/>
      <c r="F33" s="39"/>
      <c r="G33" s="39"/>
      <c r="H33" s="39"/>
      <c r="I33" s="86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86"/>
    </row>
    <row r="34" ht="28.5" customHeight="1" spans="1:28">
      <c r="A34" s="39"/>
      <c r="B34" s="94"/>
      <c r="C34" s="95"/>
      <c r="D34" s="39"/>
      <c r="E34" s="39"/>
      <c r="F34" s="39"/>
      <c r="G34" s="39"/>
      <c r="H34" s="39"/>
      <c r="I34" s="86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86"/>
    </row>
    <row r="35" ht="28.5" customHeight="1" spans="1:28">
      <c r="A35" s="39"/>
      <c r="B35" s="94"/>
      <c r="C35" s="95"/>
      <c r="D35" s="39"/>
      <c r="E35" s="39"/>
      <c r="F35" s="39"/>
      <c r="G35" s="39"/>
      <c r="H35" s="39"/>
      <c r="I35" s="86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86"/>
    </row>
    <row r="36" ht="28.5" customHeight="1" spans="1:28">
      <c r="A36" s="39"/>
      <c r="B36" s="94"/>
      <c r="C36" s="95"/>
      <c r="D36" s="39"/>
      <c r="E36" s="39"/>
      <c r="F36" s="39"/>
      <c r="G36" s="39"/>
      <c r="H36" s="39"/>
      <c r="I36" s="86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86"/>
    </row>
    <row r="37" ht="28.5" customHeight="1" spans="1:28">
      <c r="A37" s="39"/>
      <c r="B37" s="94"/>
      <c r="C37" s="95"/>
      <c r="D37" s="39"/>
      <c r="E37" s="39"/>
      <c r="F37" s="39"/>
      <c r="G37" s="39"/>
      <c r="H37" s="39"/>
      <c r="I37" s="86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86"/>
    </row>
    <row r="38" ht="28.5" customHeight="1" spans="1:28">
      <c r="A38" s="39"/>
      <c r="B38" s="94"/>
      <c r="C38" s="95"/>
      <c r="D38" s="39"/>
      <c r="E38" s="39"/>
      <c r="F38" s="39"/>
      <c r="G38" s="39"/>
      <c r="H38" s="39"/>
      <c r="I38" s="86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86"/>
    </row>
    <row r="39" ht="28.5" customHeight="1" spans="1:28">
      <c r="A39" s="39"/>
      <c r="B39" s="94"/>
      <c r="C39" s="95"/>
      <c r="D39" s="39"/>
      <c r="E39" s="39"/>
      <c r="F39" s="39"/>
      <c r="G39" s="39"/>
      <c r="H39" s="39"/>
      <c r="I39" s="86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86"/>
    </row>
    <row r="40" ht="28.5" customHeight="1" spans="1:28">
      <c r="A40" s="39"/>
      <c r="B40" s="94"/>
      <c r="C40" s="95"/>
      <c r="D40" s="39"/>
      <c r="E40" s="39"/>
      <c r="F40" s="39"/>
      <c r="G40" s="39"/>
      <c r="H40" s="39"/>
      <c r="I40" s="86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86"/>
    </row>
    <row r="41" ht="28.5" customHeight="1" spans="1:28">
      <c r="A41" s="39"/>
      <c r="B41" s="94"/>
      <c r="C41" s="95"/>
      <c r="D41" s="39"/>
      <c r="E41" s="39"/>
      <c r="F41" s="39"/>
      <c r="G41" s="39"/>
      <c r="H41" s="39"/>
      <c r="I41" s="86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86"/>
    </row>
    <row r="42" ht="28.5" customHeight="1" spans="1:28">
      <c r="A42" s="39"/>
      <c r="B42" s="94"/>
      <c r="C42" s="95"/>
      <c r="D42" s="39"/>
      <c r="E42" s="39"/>
      <c r="F42" s="39"/>
      <c r="G42" s="39"/>
      <c r="H42" s="39"/>
      <c r="I42" s="86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86"/>
    </row>
    <row r="43" ht="28.5" customHeight="1" spans="1:28">
      <c r="A43" s="39"/>
      <c r="B43" s="94"/>
      <c r="C43" s="95"/>
      <c r="D43" s="39"/>
      <c r="E43" s="39"/>
      <c r="F43" s="39"/>
      <c r="G43" s="39"/>
      <c r="H43" s="39"/>
      <c r="I43" s="86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86"/>
    </row>
    <row r="44" ht="28.5" customHeight="1" spans="1:28">
      <c r="A44" s="39"/>
      <c r="B44" s="94"/>
      <c r="C44" s="95"/>
      <c r="D44" s="39"/>
      <c r="E44" s="39"/>
      <c r="F44" s="39"/>
      <c r="G44" s="39"/>
      <c r="H44" s="39"/>
      <c r="I44" s="86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86"/>
    </row>
    <row r="45" ht="28.5" customHeight="1" spans="1:28">
      <c r="A45" s="39"/>
      <c r="B45" s="94"/>
      <c r="C45" s="95"/>
      <c r="D45" s="39"/>
      <c r="E45" s="39"/>
      <c r="F45" s="39"/>
      <c r="G45" s="39"/>
      <c r="H45" s="39"/>
      <c r="I45" s="86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86"/>
    </row>
    <row r="46" ht="28.5" customHeight="1" spans="1:28">
      <c r="A46" s="39"/>
      <c r="B46" s="94"/>
      <c r="C46" s="95"/>
      <c r="D46" s="39"/>
      <c r="E46" s="39"/>
      <c r="F46" s="39"/>
      <c r="G46" s="39"/>
      <c r="H46" s="39"/>
      <c r="I46" s="86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86"/>
    </row>
    <row r="47" ht="28.5" customHeight="1" spans="1:28">
      <c r="A47" s="39"/>
      <c r="B47" s="94"/>
      <c r="C47" s="95"/>
      <c r="D47" s="39"/>
      <c r="E47" s="39"/>
      <c r="F47" s="39"/>
      <c r="G47" s="39"/>
      <c r="H47" s="39"/>
      <c r="I47" s="86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86"/>
    </row>
    <row r="48" ht="28.5" customHeight="1" spans="1:28">
      <c r="A48" s="39"/>
      <c r="B48" s="94"/>
      <c r="C48" s="95"/>
      <c r="D48" s="39"/>
      <c r="E48" s="39"/>
      <c r="F48" s="39"/>
      <c r="G48" s="39"/>
      <c r="H48" s="39"/>
      <c r="I48" s="86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86"/>
    </row>
    <row r="49" ht="28.5" customHeight="1" spans="1:28">
      <c r="A49" s="39"/>
      <c r="B49" s="94"/>
      <c r="C49" s="95"/>
      <c r="D49" s="39"/>
      <c r="E49" s="39"/>
      <c r="F49" s="39"/>
      <c r="G49" s="39"/>
      <c r="H49" s="39"/>
      <c r="I49" s="86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86"/>
    </row>
    <row r="50" ht="28.5" customHeight="1" spans="1:28">
      <c r="A50" s="39"/>
      <c r="B50" s="94"/>
      <c r="C50" s="95"/>
      <c r="D50" s="39"/>
      <c r="E50" s="39"/>
      <c r="F50" s="39"/>
      <c r="G50" s="39"/>
      <c r="H50" s="39"/>
      <c r="I50" s="86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86"/>
    </row>
    <row r="51" ht="28.5" customHeight="1" spans="1:28">
      <c r="A51" s="39"/>
      <c r="B51" s="94"/>
      <c r="C51" s="95"/>
      <c r="D51" s="39"/>
      <c r="E51" s="39"/>
      <c r="F51" s="39"/>
      <c r="G51" s="39"/>
      <c r="H51" s="39"/>
      <c r="I51" s="86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86"/>
    </row>
    <row r="52" ht="28.5" customHeight="1" spans="1:28">
      <c r="A52" s="39"/>
      <c r="B52" s="94"/>
      <c r="C52" s="95"/>
      <c r="D52" s="39"/>
      <c r="E52" s="39"/>
      <c r="F52" s="39"/>
      <c r="G52" s="39"/>
      <c r="H52" s="39"/>
      <c r="I52" s="86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86"/>
    </row>
    <row r="53" ht="28.5" customHeight="1" spans="1:28">
      <c r="A53" s="39"/>
      <c r="B53" s="94"/>
      <c r="C53" s="95"/>
      <c r="D53" s="39"/>
      <c r="E53" s="39"/>
      <c r="F53" s="39"/>
      <c r="G53" s="39"/>
      <c r="H53" s="39"/>
      <c r="I53" s="86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86"/>
    </row>
    <row r="54" ht="28.5" customHeight="1" spans="1:28">
      <c r="A54" s="39"/>
      <c r="B54" s="94"/>
      <c r="C54" s="95"/>
      <c r="D54" s="39"/>
      <c r="E54" s="39"/>
      <c r="F54" s="39"/>
      <c r="G54" s="39"/>
      <c r="H54" s="39"/>
      <c r="I54" s="86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86"/>
    </row>
    <row r="55" ht="28.5" customHeight="1" spans="1:28">
      <c r="A55" s="39"/>
      <c r="B55" s="94"/>
      <c r="C55" s="95"/>
      <c r="D55" s="39"/>
      <c r="E55" s="39"/>
      <c r="F55" s="39"/>
      <c r="G55" s="39"/>
      <c r="H55" s="39"/>
      <c r="I55" s="86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86"/>
    </row>
    <row r="56" ht="28.5" customHeight="1" spans="1:28">
      <c r="A56" s="39"/>
      <c r="B56" s="94"/>
      <c r="C56" s="95"/>
      <c r="D56" s="39"/>
      <c r="E56" s="39"/>
      <c r="F56" s="39"/>
      <c r="G56" s="39"/>
      <c r="H56" s="39"/>
      <c r="I56" s="86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86"/>
    </row>
    <row r="57" ht="28.5" customHeight="1" spans="1:28">
      <c r="A57" s="39"/>
      <c r="B57" s="94"/>
      <c r="C57" s="95"/>
      <c r="D57" s="39"/>
      <c r="E57" s="39"/>
      <c r="F57" s="39"/>
      <c r="G57" s="39"/>
      <c r="H57" s="39"/>
      <c r="I57" s="86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86"/>
    </row>
    <row r="58" ht="28.5" customHeight="1" spans="1:28">
      <c r="A58" s="39"/>
      <c r="B58" s="94"/>
      <c r="C58" s="95"/>
      <c r="D58" s="39"/>
      <c r="E58" s="39"/>
      <c r="F58" s="39"/>
      <c r="G58" s="39"/>
      <c r="H58" s="39"/>
      <c r="I58" s="86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86"/>
    </row>
    <row r="59" ht="28.5" customHeight="1" spans="1:28">
      <c r="A59" s="39"/>
      <c r="B59" s="94"/>
      <c r="C59" s="95"/>
      <c r="D59" s="39"/>
      <c r="E59" s="39"/>
      <c r="F59" s="39"/>
      <c r="G59" s="39"/>
      <c r="H59" s="39"/>
      <c r="I59" s="86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86"/>
    </row>
    <row r="60" ht="28.5" customHeight="1" spans="1:28">
      <c r="A60" s="39"/>
      <c r="B60" s="94"/>
      <c r="C60" s="95"/>
      <c r="D60" s="39"/>
      <c r="E60" s="39"/>
      <c r="F60" s="39"/>
      <c r="G60" s="39"/>
      <c r="H60" s="39"/>
      <c r="I60" s="86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86"/>
    </row>
    <row r="61" ht="28.5" customHeight="1" spans="1:28">
      <c r="A61" s="39"/>
      <c r="B61" s="94"/>
      <c r="C61" s="95"/>
      <c r="D61" s="39"/>
      <c r="E61" s="39"/>
      <c r="F61" s="39"/>
      <c r="G61" s="39"/>
      <c r="H61" s="39"/>
      <c r="I61" s="86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86"/>
    </row>
    <row r="62" ht="28.5" customHeight="1" spans="1:28">
      <c r="A62" s="39"/>
      <c r="B62" s="94"/>
      <c r="C62" s="95"/>
      <c r="D62" s="39"/>
      <c r="E62" s="39"/>
      <c r="F62" s="39"/>
      <c r="G62" s="39"/>
      <c r="H62" s="39"/>
      <c r="I62" s="86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86"/>
    </row>
    <row r="63" ht="28.5" customHeight="1" spans="1:28">
      <c r="A63" s="39"/>
      <c r="B63" s="94"/>
      <c r="C63" s="95"/>
      <c r="D63" s="39"/>
      <c r="E63" s="39"/>
      <c r="F63" s="39"/>
      <c r="G63" s="39"/>
      <c r="H63" s="39"/>
      <c r="I63" s="86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86"/>
    </row>
    <row r="64" ht="28.5" customHeight="1" spans="1:28">
      <c r="A64" s="39"/>
      <c r="B64" s="94"/>
      <c r="C64" s="95"/>
      <c r="D64" s="39"/>
      <c r="E64" s="39"/>
      <c r="F64" s="39"/>
      <c r="G64" s="39"/>
      <c r="H64" s="39"/>
      <c r="I64" s="86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86"/>
    </row>
    <row r="65" ht="28.5" customHeight="1" spans="1:28">
      <c r="A65" s="39"/>
      <c r="B65" s="94"/>
      <c r="C65" s="95"/>
      <c r="D65" s="39"/>
      <c r="E65" s="39"/>
      <c r="F65" s="39"/>
      <c r="G65" s="39"/>
      <c r="H65" s="39"/>
      <c r="I65" s="86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86"/>
    </row>
    <row r="66" ht="28.5" customHeight="1" spans="1:28">
      <c r="A66" s="39"/>
      <c r="B66" s="94"/>
      <c r="C66" s="95"/>
      <c r="D66" s="39"/>
      <c r="E66" s="39"/>
      <c r="F66" s="39"/>
      <c r="G66" s="39"/>
      <c r="H66" s="39"/>
      <c r="I66" s="86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86"/>
    </row>
    <row r="67" ht="28.5" customHeight="1" spans="1:28">
      <c r="A67" s="39"/>
      <c r="B67" s="94"/>
      <c r="C67" s="95"/>
      <c r="D67" s="39"/>
      <c r="E67" s="39"/>
      <c r="F67" s="39"/>
      <c r="G67" s="39"/>
      <c r="H67" s="39"/>
      <c r="I67" s="86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86"/>
    </row>
    <row r="68" ht="28.5" customHeight="1" spans="1:28">
      <c r="A68" s="39"/>
      <c r="B68" s="94"/>
      <c r="C68" s="95"/>
      <c r="D68" s="39"/>
      <c r="E68" s="39"/>
      <c r="F68" s="39"/>
      <c r="G68" s="39"/>
      <c r="H68" s="39"/>
      <c r="I68" s="86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86"/>
    </row>
    <row r="69" ht="28.5" customHeight="1" spans="1:28">
      <c r="A69" s="39"/>
      <c r="B69" s="94"/>
      <c r="C69" s="95"/>
      <c r="D69" s="39"/>
      <c r="E69" s="39"/>
      <c r="F69" s="39"/>
      <c r="G69" s="39"/>
      <c r="H69" s="39"/>
      <c r="I69" s="86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86"/>
    </row>
    <row r="70" ht="28.5" customHeight="1" spans="1:28">
      <c r="A70" s="39"/>
      <c r="B70" s="94"/>
      <c r="C70" s="95"/>
      <c r="D70" s="39"/>
      <c r="E70" s="39"/>
      <c r="F70" s="39"/>
      <c r="G70" s="39"/>
      <c r="H70" s="39"/>
      <c r="I70" s="86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86"/>
    </row>
    <row r="71" ht="28.5" customHeight="1" spans="1:28">
      <c r="A71" s="39"/>
      <c r="B71" s="94"/>
      <c r="C71" s="95"/>
      <c r="D71" s="39"/>
      <c r="E71" s="39"/>
      <c r="F71" s="39"/>
      <c r="G71" s="39"/>
      <c r="H71" s="39"/>
      <c r="I71" s="86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86"/>
    </row>
    <row r="72" ht="28.5" customHeight="1" spans="1:28">
      <c r="A72" s="39"/>
      <c r="B72" s="94"/>
      <c r="C72" s="95"/>
      <c r="D72" s="39"/>
      <c r="E72" s="39"/>
      <c r="F72" s="39"/>
      <c r="G72" s="39"/>
      <c r="H72" s="39"/>
      <c r="I72" s="86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86"/>
    </row>
    <row r="73" ht="28.5" customHeight="1" spans="1:28">
      <c r="A73" s="39"/>
      <c r="B73" s="94"/>
      <c r="C73" s="95"/>
      <c r="D73" s="39"/>
      <c r="E73" s="39"/>
      <c r="F73" s="39"/>
      <c r="G73" s="39"/>
      <c r="H73" s="39"/>
      <c r="I73" s="86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86"/>
    </row>
  </sheetData>
  <mergeCells count="8">
    <mergeCell ref="A1:AC1"/>
    <mergeCell ref="A2:AC2"/>
    <mergeCell ref="C26:D26"/>
    <mergeCell ref="E26:O26"/>
    <mergeCell ref="C27:D27"/>
    <mergeCell ref="E27:O27"/>
    <mergeCell ref="P27:Z27"/>
    <mergeCell ref="AA27:AC27"/>
  </mergeCells>
  <pageMargins left="0.31496062992126" right="0.31496062992126" top="0.354330708661417" bottom="0.354330708661417" header="0.31496062992126" footer="0.31496062992126"/>
  <pageSetup paperSize="5" scale="95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C1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72727272727" defaultRowHeight="15" customHeight="1"/>
  <cols>
    <col min="1" max="1" width="5.57272727272727" customWidth="1"/>
    <col min="2" max="2" width="7" customWidth="1"/>
    <col min="3" max="3" width="26.5727272727273" customWidth="1"/>
    <col min="4" max="4" width="18.1363636363636" customWidth="1"/>
    <col min="5" max="5" width="10.8545454545455" customWidth="1"/>
    <col min="6" max="6" width="12" customWidth="1"/>
    <col min="7" max="7" width="10.5727272727273" hidden="1" customWidth="1"/>
    <col min="8" max="8" width="9.57272727272727" hidden="1" customWidth="1"/>
    <col min="9" max="9" width="10.5727272727273" hidden="1" customWidth="1"/>
    <col min="10" max="10" width="8.57272727272727" customWidth="1"/>
    <col min="11" max="11" width="10.5727272727273" hidden="1" customWidth="1"/>
    <col min="12" max="12" width="10" hidden="1" customWidth="1"/>
    <col min="13" max="13" width="10.4272727272727" hidden="1" customWidth="1"/>
    <col min="14" max="14" width="8.42727272727273" hidden="1" customWidth="1"/>
    <col min="15" max="15" width="8.57272727272727" hidden="1" customWidth="1"/>
    <col min="16" max="16" width="9.57272727272727" hidden="1" customWidth="1"/>
    <col min="17" max="17" width="11.4272727272727" customWidth="1"/>
    <col min="18" max="18" width="9.57272727272727" customWidth="1"/>
    <col min="19" max="19" width="9" customWidth="1"/>
    <col min="20" max="21" width="8" customWidth="1"/>
    <col min="22" max="22" width="7.42727272727273" hidden="1" customWidth="1"/>
    <col min="23" max="23" width="7.85454545454545" hidden="1" customWidth="1"/>
    <col min="24" max="24" width="8.13636363636364" hidden="1" customWidth="1"/>
    <col min="25" max="25" width="10.5727272727273" hidden="1" customWidth="1"/>
    <col min="26" max="26" width="10.5727272727273" customWidth="1"/>
    <col min="27" max="27" width="13.5727272727273" customWidth="1"/>
    <col min="28" max="28" width="22.1363636363636" customWidth="1"/>
    <col min="29" max="29" width="18.4272727272727" customWidth="1"/>
  </cols>
  <sheetData>
    <row r="1" ht="28.5" customHeight="1" spans="1:29">
      <c r="A1" s="1" t="s">
        <v>317</v>
      </c>
      <c r="AC1" s="2"/>
    </row>
    <row r="2" ht="28.5" customHeight="1" spans="1:29">
      <c r="A2" s="1" t="s">
        <v>318</v>
      </c>
      <c r="AC2" s="2"/>
    </row>
    <row r="3" ht="28.5" customHeight="1" spans="1:29">
      <c r="A3" s="3" t="s">
        <v>319</v>
      </c>
      <c r="B3" s="4" t="s">
        <v>320</v>
      </c>
      <c r="C3" s="4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259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208</v>
      </c>
      <c r="T3" s="3" t="s">
        <v>150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29" t="s">
        <v>28</v>
      </c>
      <c r="AC3" s="2"/>
    </row>
    <row r="4" ht="24.75" customHeight="1" spans="1:29">
      <c r="A4" s="6"/>
      <c r="B4" s="7"/>
      <c r="C4" s="8" t="s">
        <v>30</v>
      </c>
      <c r="D4" s="9"/>
      <c r="E4" s="6"/>
      <c r="F4" s="6"/>
      <c r="G4" s="6"/>
      <c r="H4" s="6"/>
      <c r="I4" s="6"/>
      <c r="J4" s="10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30"/>
      <c r="AC4" s="2"/>
    </row>
    <row r="5" ht="24.75" customHeight="1" spans="1:29">
      <c r="A5" s="6"/>
      <c r="B5" s="7"/>
      <c r="C5" s="8" t="s">
        <v>321</v>
      </c>
      <c r="D5" s="12"/>
      <c r="E5" s="13"/>
      <c r="F5" s="13"/>
      <c r="G5" s="13"/>
      <c r="H5" s="13"/>
      <c r="I5" s="13"/>
      <c r="J5" s="5">
        <v>31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2"/>
      <c r="AA5" s="12"/>
      <c r="AB5" s="30"/>
      <c r="AC5" s="2"/>
    </row>
    <row r="6" ht="24.75" customHeight="1" spans="1:29">
      <c r="A6" s="6">
        <v>1</v>
      </c>
      <c r="B6" s="7">
        <v>1</v>
      </c>
      <c r="C6" s="14" t="s">
        <v>322</v>
      </c>
      <c r="D6" s="9" t="s">
        <v>213</v>
      </c>
      <c r="E6" s="6">
        <v>8500</v>
      </c>
      <c r="F6" s="6">
        <v>8500</v>
      </c>
      <c r="G6" s="6"/>
      <c r="H6" s="6"/>
      <c r="I6" s="6"/>
      <c r="J6" s="15">
        <v>6</v>
      </c>
      <c r="K6" s="6"/>
      <c r="L6" s="6"/>
      <c r="M6" s="6"/>
      <c r="N6" s="6"/>
      <c r="O6" s="6"/>
      <c r="P6" s="6"/>
      <c r="Q6" s="6">
        <f t="shared" ref="Q6:Q22" si="0">ROUNDUP(F6/$J$5*J6+N6,0)</f>
        <v>1646</v>
      </c>
      <c r="R6" s="9"/>
      <c r="S6" s="6"/>
      <c r="T6" s="9">
        <f t="shared" ref="T6:T22" si="1">IF(Q6&gt;20001,200,IF(Q6&gt;15001,150,IF(Q6&lt;15000,0,)))</f>
        <v>0</v>
      </c>
      <c r="U6" s="9">
        <f t="shared" ref="U6:U22" si="2">IF(Q6,IF(1,30),IF(1,0))</f>
        <v>30</v>
      </c>
      <c r="V6" s="9"/>
      <c r="W6" s="6"/>
      <c r="X6" s="6"/>
      <c r="Y6" s="6"/>
      <c r="Z6" s="6">
        <f t="shared" ref="Z6:Z22" si="3">ROUNDUP(R6+S6+T6+U6+W6+X6+Y6,0)</f>
        <v>30</v>
      </c>
      <c r="AA6" s="6">
        <f t="shared" ref="AA6:AA22" si="4">Q6-Z6</f>
        <v>1616</v>
      </c>
      <c r="AB6" s="34">
        <v>21785802</v>
      </c>
      <c r="AC6" s="32" t="s">
        <v>323</v>
      </c>
    </row>
    <row r="7" ht="24.75" customHeight="1" spans="1:29">
      <c r="A7" s="6">
        <f t="shared" ref="A7:B7" si="5">A6+1</f>
        <v>2</v>
      </c>
      <c r="B7" s="7">
        <f t="shared" si="5"/>
        <v>2</v>
      </c>
      <c r="C7" s="14" t="s">
        <v>324</v>
      </c>
      <c r="D7" s="9" t="s">
        <v>213</v>
      </c>
      <c r="E7" s="6">
        <v>9000</v>
      </c>
      <c r="F7" s="6">
        <v>9000</v>
      </c>
      <c r="G7" s="6"/>
      <c r="H7" s="6"/>
      <c r="I7" s="6"/>
      <c r="J7" s="15">
        <v>31</v>
      </c>
      <c r="K7" s="6"/>
      <c r="L7" s="6"/>
      <c r="M7" s="6"/>
      <c r="N7" s="6"/>
      <c r="O7" s="6"/>
      <c r="P7" s="6"/>
      <c r="Q7" s="6">
        <f t="shared" si="0"/>
        <v>9000</v>
      </c>
      <c r="R7" s="9"/>
      <c r="S7" s="6"/>
      <c r="T7" s="9">
        <f t="shared" si="1"/>
        <v>0</v>
      </c>
      <c r="U7" s="9">
        <f t="shared" si="2"/>
        <v>30</v>
      </c>
      <c r="V7" s="9"/>
      <c r="W7" s="6"/>
      <c r="X7" s="6"/>
      <c r="Y7" s="6"/>
      <c r="Z7" s="6">
        <f t="shared" si="3"/>
        <v>30</v>
      </c>
      <c r="AA7" s="6">
        <f t="shared" si="4"/>
        <v>8970</v>
      </c>
      <c r="AB7" s="198" t="s">
        <v>325</v>
      </c>
      <c r="AC7" s="35" t="s">
        <v>326</v>
      </c>
    </row>
    <row r="8" ht="24.75" customHeight="1" spans="1:29">
      <c r="A8" s="6" t="e">
        <f>#REF!+1</f>
        <v>#REF!</v>
      </c>
      <c r="B8" s="7" t="e">
        <f>#REF!+1</f>
        <v>#REF!</v>
      </c>
      <c r="C8" s="14" t="s">
        <v>327</v>
      </c>
      <c r="D8" s="9" t="s">
        <v>225</v>
      </c>
      <c r="E8" s="6">
        <v>8000</v>
      </c>
      <c r="F8" s="6">
        <v>8000</v>
      </c>
      <c r="G8" s="6"/>
      <c r="H8" s="6"/>
      <c r="I8" s="6"/>
      <c r="J8" s="15">
        <v>5</v>
      </c>
      <c r="K8" s="6"/>
      <c r="L8" s="6"/>
      <c r="M8" s="6"/>
      <c r="N8" s="6"/>
      <c r="O8" s="6"/>
      <c r="P8" s="6"/>
      <c r="Q8" s="6">
        <f t="shared" si="0"/>
        <v>1291</v>
      </c>
      <c r="R8" s="9"/>
      <c r="S8" s="6"/>
      <c r="T8" s="9">
        <f t="shared" si="1"/>
        <v>0</v>
      </c>
      <c r="U8" s="9">
        <f t="shared" si="2"/>
        <v>30</v>
      </c>
      <c r="V8" s="9"/>
      <c r="W8" s="6"/>
      <c r="X8" s="6"/>
      <c r="Y8" s="6"/>
      <c r="Z8" s="6">
        <f t="shared" si="3"/>
        <v>30</v>
      </c>
      <c r="AA8" s="6">
        <f t="shared" si="4"/>
        <v>1261</v>
      </c>
      <c r="AB8" s="34">
        <v>50026530913</v>
      </c>
      <c r="AC8" s="36" t="s">
        <v>323</v>
      </c>
    </row>
    <row r="9" ht="24.75" customHeight="1" spans="1:29">
      <c r="A9" s="6" t="e">
        <f t="shared" ref="A9:B9" si="6">A8+1</f>
        <v>#REF!</v>
      </c>
      <c r="B9" s="7" t="e">
        <f t="shared" si="6"/>
        <v>#REF!</v>
      </c>
      <c r="C9" s="14" t="s">
        <v>328</v>
      </c>
      <c r="D9" s="9" t="s">
        <v>225</v>
      </c>
      <c r="E9" s="6">
        <v>7000</v>
      </c>
      <c r="F9" s="6">
        <v>7000</v>
      </c>
      <c r="G9" s="6"/>
      <c r="H9" s="6"/>
      <c r="I9" s="6"/>
      <c r="J9" s="15">
        <v>4</v>
      </c>
      <c r="K9" s="6"/>
      <c r="L9" s="6"/>
      <c r="M9" s="6"/>
      <c r="N9" s="6"/>
      <c r="O9" s="6"/>
      <c r="P9" s="6"/>
      <c r="Q9" s="6">
        <f t="shared" si="0"/>
        <v>904</v>
      </c>
      <c r="R9" s="9"/>
      <c r="S9" s="6"/>
      <c r="T9" s="9">
        <f t="shared" si="1"/>
        <v>0</v>
      </c>
      <c r="U9" s="9">
        <f t="shared" si="2"/>
        <v>30</v>
      </c>
      <c r="V9" s="9"/>
      <c r="W9" s="6"/>
      <c r="X9" s="6"/>
      <c r="Y9" s="6"/>
      <c r="Z9" s="6">
        <f t="shared" si="3"/>
        <v>30</v>
      </c>
      <c r="AA9" s="6">
        <f t="shared" si="4"/>
        <v>874</v>
      </c>
      <c r="AB9" s="199" t="s">
        <v>329</v>
      </c>
      <c r="AC9" s="36" t="s">
        <v>242</v>
      </c>
    </row>
    <row r="10" ht="24.75" customHeight="1" spans="1:29">
      <c r="A10" s="6" t="e">
        <f>#REF!+1</f>
        <v>#REF!</v>
      </c>
      <c r="B10" s="7" t="e">
        <f>#REF!+1</f>
        <v>#REF!</v>
      </c>
      <c r="C10" s="14" t="s">
        <v>330</v>
      </c>
      <c r="D10" s="9" t="s">
        <v>225</v>
      </c>
      <c r="E10" s="6">
        <v>7000</v>
      </c>
      <c r="F10" s="6">
        <v>7000</v>
      </c>
      <c r="G10" s="6"/>
      <c r="H10" s="6"/>
      <c r="I10" s="6"/>
      <c r="J10" s="15">
        <v>7</v>
      </c>
      <c r="K10" s="6"/>
      <c r="L10" s="6"/>
      <c r="M10" s="6"/>
      <c r="N10" s="6"/>
      <c r="O10" s="6"/>
      <c r="P10" s="6"/>
      <c r="Q10" s="6">
        <f t="shared" si="0"/>
        <v>1581</v>
      </c>
      <c r="R10" s="9"/>
      <c r="S10" s="6"/>
      <c r="T10" s="9">
        <f t="shared" si="1"/>
        <v>0</v>
      </c>
      <c r="U10" s="9">
        <f t="shared" si="2"/>
        <v>30</v>
      </c>
      <c r="V10" s="9"/>
      <c r="W10" s="6"/>
      <c r="X10" s="6"/>
      <c r="Y10" s="6"/>
      <c r="Z10" s="6">
        <f t="shared" si="3"/>
        <v>30</v>
      </c>
      <c r="AA10" s="6">
        <f t="shared" si="4"/>
        <v>1551</v>
      </c>
      <c r="AB10" s="34">
        <v>21786124</v>
      </c>
      <c r="AC10" s="32" t="s">
        <v>323</v>
      </c>
    </row>
    <row r="11" ht="24.75" customHeight="1" spans="1:29">
      <c r="A11" s="6" t="e">
        <f t="shared" ref="A11:B11" si="7">A10+1</f>
        <v>#REF!</v>
      </c>
      <c r="B11" s="7" t="e">
        <f t="shared" si="7"/>
        <v>#REF!</v>
      </c>
      <c r="C11" s="14" t="s">
        <v>331</v>
      </c>
      <c r="D11" s="9" t="s">
        <v>225</v>
      </c>
      <c r="E11" s="6">
        <v>8000</v>
      </c>
      <c r="F11" s="6">
        <v>8000</v>
      </c>
      <c r="G11" s="6"/>
      <c r="H11" s="6"/>
      <c r="I11" s="6"/>
      <c r="J11" s="15">
        <v>7</v>
      </c>
      <c r="K11" s="6"/>
      <c r="L11" s="6"/>
      <c r="M11" s="6"/>
      <c r="N11" s="6"/>
      <c r="O11" s="6"/>
      <c r="P11" s="6"/>
      <c r="Q11" s="6">
        <f t="shared" si="0"/>
        <v>1807</v>
      </c>
      <c r="R11" s="9"/>
      <c r="S11" s="6"/>
      <c r="T11" s="9">
        <f t="shared" si="1"/>
        <v>0</v>
      </c>
      <c r="U11" s="9">
        <f t="shared" si="2"/>
        <v>30</v>
      </c>
      <c r="V11" s="9"/>
      <c r="W11" s="6"/>
      <c r="X11" s="6"/>
      <c r="Y11" s="6"/>
      <c r="Z11" s="6">
        <f t="shared" si="3"/>
        <v>30</v>
      </c>
      <c r="AA11" s="6">
        <f t="shared" si="4"/>
        <v>1777</v>
      </c>
      <c r="AB11" s="34">
        <v>21785303</v>
      </c>
      <c r="AC11" s="32" t="s">
        <v>323</v>
      </c>
    </row>
    <row r="12" ht="24.75" customHeight="1" spans="1:29">
      <c r="A12" s="6" t="e">
        <f>#REF!+1</f>
        <v>#REF!</v>
      </c>
      <c r="B12" s="7" t="e">
        <f>#REF!+1</f>
        <v>#REF!</v>
      </c>
      <c r="C12" s="14" t="s">
        <v>332</v>
      </c>
      <c r="D12" s="9" t="s">
        <v>225</v>
      </c>
      <c r="E12" s="6">
        <v>7000</v>
      </c>
      <c r="F12" s="6">
        <v>7000</v>
      </c>
      <c r="G12" s="6"/>
      <c r="H12" s="6"/>
      <c r="I12" s="6"/>
      <c r="J12" s="15">
        <v>8</v>
      </c>
      <c r="K12" s="6"/>
      <c r="L12" s="6"/>
      <c r="M12" s="6"/>
      <c r="N12" s="6"/>
      <c r="O12" s="6"/>
      <c r="P12" s="6"/>
      <c r="Q12" s="6">
        <f t="shared" si="0"/>
        <v>1807</v>
      </c>
      <c r="R12" s="9"/>
      <c r="S12" s="6"/>
      <c r="T12" s="9">
        <f t="shared" si="1"/>
        <v>0</v>
      </c>
      <c r="U12" s="9">
        <f t="shared" si="2"/>
        <v>30</v>
      </c>
      <c r="V12" s="9"/>
      <c r="W12" s="6"/>
      <c r="X12" s="6"/>
      <c r="Y12" s="6"/>
      <c r="Z12" s="6">
        <f t="shared" si="3"/>
        <v>30</v>
      </c>
      <c r="AA12" s="6">
        <f t="shared" si="4"/>
        <v>1777</v>
      </c>
      <c r="AB12" s="34">
        <v>50017033048</v>
      </c>
      <c r="AC12" s="32" t="s">
        <v>323</v>
      </c>
    </row>
    <row r="13" ht="24.75" customHeight="1" spans="1:29">
      <c r="A13" s="6" t="e">
        <f>#REF!+1</f>
        <v>#REF!</v>
      </c>
      <c r="B13" s="7" t="e">
        <f>#REF!+1</f>
        <v>#REF!</v>
      </c>
      <c r="C13" s="14" t="s">
        <v>333</v>
      </c>
      <c r="D13" s="9" t="s">
        <v>225</v>
      </c>
      <c r="E13" s="6">
        <v>7000</v>
      </c>
      <c r="F13" s="6">
        <v>7000</v>
      </c>
      <c r="G13" s="6"/>
      <c r="H13" s="6"/>
      <c r="I13" s="6"/>
      <c r="J13" s="15">
        <v>7</v>
      </c>
      <c r="K13" s="6"/>
      <c r="L13" s="6"/>
      <c r="M13" s="6"/>
      <c r="N13" s="6"/>
      <c r="O13" s="6"/>
      <c r="P13" s="6"/>
      <c r="Q13" s="6">
        <f t="shared" si="0"/>
        <v>1581</v>
      </c>
      <c r="R13" s="9"/>
      <c r="S13" s="6"/>
      <c r="T13" s="9">
        <f t="shared" si="1"/>
        <v>0</v>
      </c>
      <c r="U13" s="9">
        <f t="shared" si="2"/>
        <v>30</v>
      </c>
      <c r="V13" s="9"/>
      <c r="W13" s="6"/>
      <c r="X13" s="6"/>
      <c r="Y13" s="6"/>
      <c r="Z13" s="6">
        <f t="shared" si="3"/>
        <v>30</v>
      </c>
      <c r="AA13" s="6">
        <f t="shared" si="4"/>
        <v>1551</v>
      </c>
      <c r="AB13" s="34">
        <v>31702250018308</v>
      </c>
      <c r="AC13" s="35" t="s">
        <v>334</v>
      </c>
    </row>
    <row r="14" ht="24.75" customHeight="1" spans="1:29">
      <c r="A14" s="6" t="e">
        <f>#REF!+1</f>
        <v>#REF!</v>
      </c>
      <c r="B14" s="7" t="e">
        <f>#REF!+1</f>
        <v>#REF!</v>
      </c>
      <c r="C14" s="14" t="s">
        <v>335</v>
      </c>
      <c r="D14" s="9" t="s">
        <v>225</v>
      </c>
      <c r="E14" s="6">
        <v>7000</v>
      </c>
      <c r="F14" s="6">
        <v>7000</v>
      </c>
      <c r="G14" s="6"/>
      <c r="H14" s="6"/>
      <c r="I14" s="6"/>
      <c r="J14" s="15">
        <v>3</v>
      </c>
      <c r="K14" s="6"/>
      <c r="L14" s="6"/>
      <c r="M14" s="6"/>
      <c r="N14" s="6"/>
      <c r="O14" s="6"/>
      <c r="P14" s="6"/>
      <c r="Q14" s="6">
        <f t="shared" si="0"/>
        <v>678</v>
      </c>
      <c r="R14" s="9"/>
      <c r="S14" s="6"/>
      <c r="T14" s="9">
        <f t="shared" si="1"/>
        <v>0</v>
      </c>
      <c r="U14" s="9">
        <f t="shared" si="2"/>
        <v>30</v>
      </c>
      <c r="V14" s="9"/>
      <c r="W14" s="6"/>
      <c r="X14" s="6"/>
      <c r="Y14" s="6"/>
      <c r="Z14" s="6">
        <f t="shared" si="3"/>
        <v>30</v>
      </c>
      <c r="AA14" s="6">
        <f t="shared" si="4"/>
        <v>648</v>
      </c>
      <c r="AB14" s="199" t="s">
        <v>336</v>
      </c>
      <c r="AC14" s="32" t="s">
        <v>323</v>
      </c>
    </row>
    <row r="15" ht="24.75" customHeight="1" spans="1:29">
      <c r="A15" s="6" t="e">
        <f t="shared" ref="A15:B15" si="8">A14+1</f>
        <v>#REF!</v>
      </c>
      <c r="B15" s="7" t="e">
        <f t="shared" si="8"/>
        <v>#REF!</v>
      </c>
      <c r="C15" s="14" t="s">
        <v>337</v>
      </c>
      <c r="D15" s="9" t="s">
        <v>225</v>
      </c>
      <c r="E15" s="6">
        <v>7000</v>
      </c>
      <c r="F15" s="6">
        <v>7000</v>
      </c>
      <c r="G15" s="6"/>
      <c r="H15" s="6"/>
      <c r="I15" s="6"/>
      <c r="J15" s="15">
        <v>4</v>
      </c>
      <c r="K15" s="6"/>
      <c r="L15" s="6"/>
      <c r="M15" s="6"/>
      <c r="N15" s="6"/>
      <c r="O15" s="6"/>
      <c r="P15" s="6"/>
      <c r="Q15" s="6">
        <f t="shared" si="0"/>
        <v>904</v>
      </c>
      <c r="R15" s="9"/>
      <c r="S15" s="6"/>
      <c r="T15" s="9">
        <f t="shared" si="1"/>
        <v>0</v>
      </c>
      <c r="U15" s="9">
        <f t="shared" si="2"/>
        <v>30</v>
      </c>
      <c r="V15" s="9"/>
      <c r="W15" s="6"/>
      <c r="X15" s="6"/>
      <c r="Y15" s="6"/>
      <c r="Z15" s="6">
        <f t="shared" si="3"/>
        <v>30</v>
      </c>
      <c r="AA15" s="6">
        <f t="shared" si="4"/>
        <v>874</v>
      </c>
      <c r="AB15" s="199" t="s">
        <v>338</v>
      </c>
      <c r="AC15" s="32" t="s">
        <v>323</v>
      </c>
    </row>
    <row r="16" ht="24.75" customHeight="1" spans="1:29">
      <c r="A16" s="6" t="e">
        <f t="shared" ref="A16:B16" si="9">A15+1</f>
        <v>#REF!</v>
      </c>
      <c r="B16" s="7" t="e">
        <f t="shared" si="9"/>
        <v>#REF!</v>
      </c>
      <c r="C16" s="14" t="s">
        <v>339</v>
      </c>
      <c r="D16" s="9" t="s">
        <v>225</v>
      </c>
      <c r="E16" s="6">
        <v>7000</v>
      </c>
      <c r="F16" s="6">
        <v>7000</v>
      </c>
      <c r="G16" s="6"/>
      <c r="H16" s="6"/>
      <c r="I16" s="6"/>
      <c r="J16" s="15">
        <v>4</v>
      </c>
      <c r="K16" s="6"/>
      <c r="L16" s="6"/>
      <c r="M16" s="6"/>
      <c r="N16" s="6"/>
      <c r="O16" s="6"/>
      <c r="P16" s="6"/>
      <c r="Q16" s="6">
        <f t="shared" si="0"/>
        <v>904</v>
      </c>
      <c r="R16" s="9"/>
      <c r="S16" s="6"/>
      <c r="T16" s="9">
        <f t="shared" si="1"/>
        <v>0</v>
      </c>
      <c r="U16" s="9">
        <f t="shared" si="2"/>
        <v>30</v>
      </c>
      <c r="V16" s="9"/>
      <c r="W16" s="6"/>
      <c r="X16" s="6"/>
      <c r="Y16" s="6"/>
      <c r="Z16" s="6">
        <f t="shared" si="3"/>
        <v>30</v>
      </c>
      <c r="AA16" s="6">
        <f t="shared" si="4"/>
        <v>874</v>
      </c>
      <c r="AB16" s="199" t="s">
        <v>340</v>
      </c>
      <c r="AC16" s="32" t="s">
        <v>323</v>
      </c>
    </row>
    <row r="17" ht="24.75" customHeight="1" spans="1:29">
      <c r="A17" s="6" t="e">
        <f>#REF!+1</f>
        <v>#REF!</v>
      </c>
      <c r="B17" s="7" t="e">
        <f>#REF!+1</f>
        <v>#REF!</v>
      </c>
      <c r="C17" s="14" t="s">
        <v>341</v>
      </c>
      <c r="D17" s="9" t="s">
        <v>225</v>
      </c>
      <c r="E17" s="6">
        <v>7000</v>
      </c>
      <c r="F17" s="6">
        <v>7000</v>
      </c>
      <c r="G17" s="6"/>
      <c r="H17" s="6"/>
      <c r="I17" s="6"/>
      <c r="J17" s="15">
        <v>6</v>
      </c>
      <c r="K17" s="6"/>
      <c r="L17" s="6"/>
      <c r="M17" s="6"/>
      <c r="N17" s="6"/>
      <c r="O17" s="6"/>
      <c r="P17" s="6"/>
      <c r="Q17" s="6">
        <f t="shared" si="0"/>
        <v>1355</v>
      </c>
      <c r="R17" s="9"/>
      <c r="S17" s="6"/>
      <c r="T17" s="9">
        <f t="shared" si="1"/>
        <v>0</v>
      </c>
      <c r="U17" s="9">
        <f t="shared" si="2"/>
        <v>30</v>
      </c>
      <c r="V17" s="9"/>
      <c r="W17" s="6"/>
      <c r="X17" s="6"/>
      <c r="Y17" s="6"/>
      <c r="Z17" s="6">
        <f t="shared" si="3"/>
        <v>30</v>
      </c>
      <c r="AA17" s="6">
        <f t="shared" si="4"/>
        <v>1325</v>
      </c>
      <c r="AB17" s="37">
        <v>50000597671</v>
      </c>
      <c r="AC17" s="32" t="s">
        <v>323</v>
      </c>
    </row>
    <row r="18" ht="24.75" customHeight="1" spans="1:29">
      <c r="A18" s="6" t="e">
        <f>#REF!+1</f>
        <v>#REF!</v>
      </c>
      <c r="B18" s="7" t="e">
        <f>#REF!+1</f>
        <v>#REF!</v>
      </c>
      <c r="C18" s="14" t="s">
        <v>342</v>
      </c>
      <c r="D18" s="9" t="s">
        <v>225</v>
      </c>
      <c r="E18" s="6">
        <v>7000</v>
      </c>
      <c r="F18" s="6">
        <v>7000</v>
      </c>
      <c r="G18" s="6"/>
      <c r="H18" s="6"/>
      <c r="I18" s="6"/>
      <c r="J18" s="15">
        <v>6</v>
      </c>
      <c r="K18" s="6"/>
      <c r="L18" s="6"/>
      <c r="M18" s="6"/>
      <c r="N18" s="6"/>
      <c r="O18" s="6"/>
      <c r="P18" s="6"/>
      <c r="Q18" s="6">
        <f t="shared" si="0"/>
        <v>1355</v>
      </c>
      <c r="R18" s="9"/>
      <c r="S18" s="6"/>
      <c r="T18" s="9">
        <f t="shared" si="1"/>
        <v>0</v>
      </c>
      <c r="U18" s="9">
        <f t="shared" si="2"/>
        <v>30</v>
      </c>
      <c r="V18" s="9"/>
      <c r="W18" s="6"/>
      <c r="X18" s="6"/>
      <c r="Y18" s="6"/>
      <c r="Z18" s="6">
        <f t="shared" si="3"/>
        <v>30</v>
      </c>
      <c r="AA18" s="6">
        <f t="shared" si="4"/>
        <v>1325</v>
      </c>
      <c r="AB18" s="37">
        <v>94999330</v>
      </c>
      <c r="AC18" s="32" t="s">
        <v>323</v>
      </c>
    </row>
    <row r="19" ht="24.75" customHeight="1" spans="1:29">
      <c r="A19" s="6" t="e">
        <f>#REF!+1</f>
        <v>#REF!</v>
      </c>
      <c r="B19" s="7" t="e">
        <f>#REF!+1</f>
        <v>#REF!</v>
      </c>
      <c r="C19" s="14" t="s">
        <v>343</v>
      </c>
      <c r="D19" s="9" t="s">
        <v>225</v>
      </c>
      <c r="E19" s="6">
        <v>7000</v>
      </c>
      <c r="F19" s="6">
        <v>7000</v>
      </c>
      <c r="G19" s="6"/>
      <c r="H19" s="6"/>
      <c r="I19" s="6"/>
      <c r="J19" s="15">
        <v>4</v>
      </c>
      <c r="K19" s="6"/>
      <c r="L19" s="6"/>
      <c r="M19" s="6"/>
      <c r="N19" s="6"/>
      <c r="O19" s="6"/>
      <c r="P19" s="6"/>
      <c r="Q19" s="6">
        <f t="shared" si="0"/>
        <v>904</v>
      </c>
      <c r="R19" s="9"/>
      <c r="S19" s="6"/>
      <c r="T19" s="9">
        <f t="shared" si="1"/>
        <v>0</v>
      </c>
      <c r="U19" s="9">
        <f t="shared" si="2"/>
        <v>30</v>
      </c>
      <c r="V19" s="9"/>
      <c r="W19" s="6"/>
      <c r="X19" s="6"/>
      <c r="Y19" s="6"/>
      <c r="Z19" s="6">
        <f t="shared" si="3"/>
        <v>30</v>
      </c>
      <c r="AA19" s="6">
        <f t="shared" si="4"/>
        <v>874</v>
      </c>
      <c r="AB19" s="37">
        <v>21785799</v>
      </c>
      <c r="AC19" s="32" t="s">
        <v>323</v>
      </c>
    </row>
    <row r="20" ht="24.75" customHeight="1" spans="1:29">
      <c r="A20" s="6" t="e">
        <f t="shared" ref="A20:B20" si="10">A19+1</f>
        <v>#REF!</v>
      </c>
      <c r="B20" s="7" t="e">
        <f t="shared" si="10"/>
        <v>#REF!</v>
      </c>
      <c r="C20" s="14" t="s">
        <v>344</v>
      </c>
      <c r="D20" s="9" t="s">
        <v>225</v>
      </c>
      <c r="E20" s="6">
        <v>7000</v>
      </c>
      <c r="F20" s="6">
        <v>7000</v>
      </c>
      <c r="G20" s="6"/>
      <c r="H20" s="6"/>
      <c r="I20" s="6"/>
      <c r="J20" s="15">
        <v>5</v>
      </c>
      <c r="K20" s="6"/>
      <c r="L20" s="6"/>
      <c r="M20" s="6"/>
      <c r="N20" s="6"/>
      <c r="O20" s="6"/>
      <c r="P20" s="6"/>
      <c r="Q20" s="6">
        <f t="shared" si="0"/>
        <v>1130</v>
      </c>
      <c r="R20" s="9"/>
      <c r="S20" s="6"/>
      <c r="T20" s="9">
        <f t="shared" si="1"/>
        <v>0</v>
      </c>
      <c r="U20" s="9">
        <f t="shared" si="2"/>
        <v>30</v>
      </c>
      <c r="V20" s="9"/>
      <c r="W20" s="6"/>
      <c r="X20" s="6"/>
      <c r="Y20" s="6"/>
      <c r="Z20" s="6">
        <f t="shared" si="3"/>
        <v>30</v>
      </c>
      <c r="AA20" s="6">
        <f t="shared" si="4"/>
        <v>1100</v>
      </c>
      <c r="AB20" s="38">
        <v>21960965</v>
      </c>
      <c r="AC20" s="32" t="s">
        <v>323</v>
      </c>
    </row>
    <row r="21" ht="24.75" customHeight="1" spans="1:29">
      <c r="A21" s="6" t="e">
        <f>#REF!+1</f>
        <v>#REF!</v>
      </c>
      <c r="B21" s="7" t="e">
        <f>#REF!+1</f>
        <v>#REF!</v>
      </c>
      <c r="C21" s="14" t="s">
        <v>345</v>
      </c>
      <c r="D21" s="9" t="s">
        <v>225</v>
      </c>
      <c r="E21" s="6">
        <v>7000</v>
      </c>
      <c r="F21" s="6">
        <v>7000</v>
      </c>
      <c r="G21" s="6"/>
      <c r="H21" s="6"/>
      <c r="I21" s="6"/>
      <c r="J21" s="15">
        <v>4</v>
      </c>
      <c r="K21" s="6"/>
      <c r="L21" s="6"/>
      <c r="M21" s="6"/>
      <c r="N21" s="6"/>
      <c r="O21" s="6"/>
      <c r="P21" s="6"/>
      <c r="Q21" s="6">
        <f t="shared" si="0"/>
        <v>904</v>
      </c>
      <c r="R21" s="9"/>
      <c r="S21" s="6"/>
      <c r="T21" s="9">
        <f t="shared" si="1"/>
        <v>0</v>
      </c>
      <c r="U21" s="9">
        <f t="shared" si="2"/>
        <v>30</v>
      </c>
      <c r="V21" s="9"/>
      <c r="W21" s="6"/>
      <c r="X21" s="6"/>
      <c r="Y21" s="6"/>
      <c r="Z21" s="6">
        <f t="shared" si="3"/>
        <v>30</v>
      </c>
      <c r="AA21" s="6">
        <f t="shared" si="4"/>
        <v>874</v>
      </c>
      <c r="AB21" s="199" t="s">
        <v>346</v>
      </c>
      <c r="AC21" s="32" t="s">
        <v>323</v>
      </c>
    </row>
    <row r="22" ht="24.75" customHeight="1" spans="1:29">
      <c r="A22" s="6" t="e">
        <f>#REF!+1</f>
        <v>#REF!</v>
      </c>
      <c r="B22" s="7" t="e">
        <f>#REF!+1</f>
        <v>#REF!</v>
      </c>
      <c r="C22" s="14" t="s">
        <v>347</v>
      </c>
      <c r="D22" s="9" t="s">
        <v>225</v>
      </c>
      <c r="E22" s="6">
        <v>7000</v>
      </c>
      <c r="F22" s="6">
        <v>7000</v>
      </c>
      <c r="G22" s="6"/>
      <c r="H22" s="6"/>
      <c r="I22" s="6"/>
      <c r="J22" s="15">
        <v>14</v>
      </c>
      <c r="K22" s="6"/>
      <c r="L22" s="6"/>
      <c r="M22" s="6"/>
      <c r="N22" s="6"/>
      <c r="O22" s="6"/>
      <c r="P22" s="6"/>
      <c r="Q22" s="6">
        <f t="shared" si="0"/>
        <v>3162</v>
      </c>
      <c r="R22" s="9"/>
      <c r="S22" s="6"/>
      <c r="T22" s="9">
        <f t="shared" si="1"/>
        <v>0</v>
      </c>
      <c r="U22" s="9">
        <f t="shared" si="2"/>
        <v>30</v>
      </c>
      <c r="V22" s="9"/>
      <c r="W22" s="6"/>
      <c r="X22" s="6"/>
      <c r="Y22" s="6"/>
      <c r="Z22" s="6">
        <f t="shared" si="3"/>
        <v>30</v>
      </c>
      <c r="AA22" s="6">
        <f t="shared" si="4"/>
        <v>3132</v>
      </c>
      <c r="AB22" s="37">
        <v>50003441316</v>
      </c>
      <c r="AC22" s="32" t="s">
        <v>323</v>
      </c>
    </row>
    <row r="23" ht="24.75" customHeight="1" spans="1:29">
      <c r="A23" s="19"/>
      <c r="B23" s="20"/>
      <c r="C23" s="21" t="s">
        <v>140</v>
      </c>
      <c r="D23" s="22"/>
      <c r="E23" s="19">
        <f t="shared" ref="E23:F23" si="11">SUM(E6:E22)</f>
        <v>124500</v>
      </c>
      <c r="F23" s="19">
        <f t="shared" si="11"/>
        <v>124500</v>
      </c>
      <c r="G23" s="19">
        <f t="shared" ref="G23:I23" si="12">SUM(G8:G16)</f>
        <v>0</v>
      </c>
      <c r="H23" s="19">
        <f t="shared" si="12"/>
        <v>0</v>
      </c>
      <c r="I23" s="19">
        <f t="shared" si="12"/>
        <v>0</v>
      </c>
      <c r="J23" s="19"/>
      <c r="K23" s="19">
        <f t="shared" ref="K23:P23" si="13">SUM(K8:K16)</f>
        <v>0</v>
      </c>
      <c r="L23" s="19">
        <f t="shared" si="13"/>
        <v>0</v>
      </c>
      <c r="M23" s="19">
        <f t="shared" si="13"/>
        <v>0</v>
      </c>
      <c r="N23" s="19">
        <f t="shared" si="13"/>
        <v>0</v>
      </c>
      <c r="O23" s="19">
        <f t="shared" si="13"/>
        <v>0</v>
      </c>
      <c r="P23" s="19">
        <f t="shared" si="13"/>
        <v>0</v>
      </c>
      <c r="Q23" s="19">
        <f>SUM(Q6:Q22)</f>
        <v>30913</v>
      </c>
      <c r="R23" s="19">
        <f t="shared" ref="R23:T23" si="14">SUM(R6:R16)</f>
        <v>0</v>
      </c>
      <c r="S23" s="19">
        <f t="shared" si="14"/>
        <v>0</v>
      </c>
      <c r="T23" s="19">
        <f t="shared" si="14"/>
        <v>0</v>
      </c>
      <c r="U23" s="19">
        <f>SUM(U6:U22)</f>
        <v>510</v>
      </c>
      <c r="V23" s="19">
        <f t="shared" ref="V23:Y23" si="15">SUM(V6:V16)</f>
        <v>0</v>
      </c>
      <c r="W23" s="19">
        <f t="shared" si="15"/>
        <v>0</v>
      </c>
      <c r="X23" s="19">
        <f t="shared" si="15"/>
        <v>0</v>
      </c>
      <c r="Y23" s="19">
        <f t="shared" si="15"/>
        <v>0</v>
      </c>
      <c r="Z23" s="19">
        <f t="shared" ref="Z23:AA23" si="16">SUM(Z6:Z22)</f>
        <v>510</v>
      </c>
      <c r="AA23" s="19">
        <f t="shared" si="16"/>
        <v>30403</v>
      </c>
      <c r="AB23" s="19"/>
      <c r="AC23" s="19"/>
    </row>
    <row r="24" ht="28.5" customHeight="1" spans="1:29">
      <c r="A24" s="6"/>
      <c r="B24" s="7"/>
      <c r="C24" s="8"/>
      <c r="D24" s="12"/>
      <c r="E24" s="13"/>
      <c r="F24" s="13"/>
      <c r="G24" s="13"/>
      <c r="H24" s="13"/>
      <c r="I24" s="13"/>
      <c r="J24" s="25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6"/>
      <c r="AB24" s="30"/>
      <c r="AC24" s="2"/>
    </row>
    <row r="25" ht="28.5" customHeight="1" spans="1:29">
      <c r="A25" s="6"/>
      <c r="B25" s="24" t="s">
        <v>348</v>
      </c>
      <c r="C25" s="24"/>
      <c r="D25" s="24"/>
      <c r="E25" s="13"/>
      <c r="F25" s="2"/>
      <c r="G25" s="13"/>
      <c r="H25" s="13"/>
      <c r="I25" s="13"/>
      <c r="J25" s="25"/>
      <c r="K25" s="13"/>
      <c r="L25" s="13"/>
      <c r="M25" s="13"/>
      <c r="N25" s="13"/>
      <c r="O25" s="2"/>
      <c r="P25" s="2"/>
      <c r="Q25" s="24" t="s">
        <v>146</v>
      </c>
      <c r="R25" s="2"/>
      <c r="S25" s="2"/>
      <c r="T25" s="24"/>
      <c r="U25" s="24"/>
      <c r="V25" s="24"/>
      <c r="W25" s="2"/>
      <c r="X25" s="2"/>
      <c r="Y25" s="2"/>
      <c r="Z25" s="24" t="s">
        <v>147</v>
      </c>
      <c r="AA25" s="24"/>
      <c r="AB25" s="33"/>
      <c r="AC25" s="2"/>
    </row>
    <row r="26" ht="28.5" customHeight="1" spans="1:29">
      <c r="A26" s="2"/>
      <c r="B26" s="26"/>
      <c r="C26" s="27"/>
      <c r="D26" s="28"/>
      <c r="E26" s="2"/>
      <c r="F26" s="2"/>
      <c r="G26" s="2"/>
      <c r="H26" s="2"/>
      <c r="I26" s="2"/>
      <c r="J26" s="1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0">
        <f>+AA23+' Attender   &amp; Transport (2)'!G25+Sheet3!G1+Sheet3!G3+Sheet3!G4+'HK PNB'!O13+'SECURITY (2)'!G44</f>
        <v>532163</v>
      </c>
      <c r="AC26" s="2"/>
    </row>
    <row r="27" ht="28.5" customHeight="1" spans="1:29">
      <c r="A27" s="2"/>
      <c r="B27" s="26"/>
      <c r="C27" s="27"/>
      <c r="D27" s="28"/>
      <c r="E27" s="2"/>
      <c r="F27" s="2"/>
      <c r="G27" s="2"/>
      <c r="H27" s="2"/>
      <c r="I27" s="2"/>
      <c r="J27" s="1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0"/>
      <c r="AC27" s="2"/>
    </row>
    <row r="28" ht="28.5" customHeight="1" spans="1:29">
      <c r="A28" s="2"/>
      <c r="B28" s="26"/>
      <c r="C28" s="27"/>
      <c r="D28" s="28"/>
      <c r="E28" s="2"/>
      <c r="F28" s="2"/>
      <c r="G28" s="2"/>
      <c r="H28" s="2"/>
      <c r="I28" s="2"/>
      <c r="J28" s="1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0"/>
      <c r="AC28" s="2"/>
    </row>
    <row r="29" ht="28.5" customHeight="1" spans="1:29">
      <c r="A29" s="2"/>
      <c r="B29" s="26"/>
      <c r="C29" s="27"/>
      <c r="D29" s="28"/>
      <c r="E29" s="2"/>
      <c r="F29" s="2"/>
      <c r="G29" s="2"/>
      <c r="H29" s="2"/>
      <c r="I29" s="2"/>
      <c r="J29" s="1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0"/>
      <c r="AC29" s="2"/>
    </row>
    <row r="30" ht="28.5" customHeight="1" spans="1:29">
      <c r="A30" s="2"/>
      <c r="B30" s="26"/>
      <c r="C30" s="27"/>
      <c r="D30" s="28"/>
      <c r="E30" s="2"/>
      <c r="F30" s="2"/>
      <c r="G30" s="2"/>
      <c r="H30" s="2"/>
      <c r="I30" s="2"/>
      <c r="J30" s="1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0"/>
      <c r="AC30" s="2"/>
    </row>
    <row r="31" ht="28.5" customHeight="1" spans="1:29">
      <c r="A31" s="2"/>
      <c r="B31" s="26"/>
      <c r="C31" s="27"/>
      <c r="D31" s="28"/>
      <c r="E31" s="2"/>
      <c r="F31" s="2"/>
      <c r="G31" s="2"/>
      <c r="H31" s="2"/>
      <c r="I31" s="2"/>
      <c r="J31" s="1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0"/>
      <c r="AC31" s="2"/>
    </row>
    <row r="32" ht="28.5" customHeight="1" spans="1:29">
      <c r="A32" s="2"/>
      <c r="B32" s="26"/>
      <c r="C32" s="27"/>
      <c r="D32" s="28"/>
      <c r="E32" s="2"/>
      <c r="F32" s="2"/>
      <c r="G32" s="2"/>
      <c r="H32" s="2"/>
      <c r="I32" s="2"/>
      <c r="J32" s="1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0"/>
      <c r="AC32" s="2"/>
    </row>
    <row r="33" ht="28.5" customHeight="1" spans="1:29">
      <c r="A33" s="2"/>
      <c r="B33" s="26"/>
      <c r="C33" s="27"/>
      <c r="D33" s="28"/>
      <c r="E33" s="2"/>
      <c r="F33" s="2"/>
      <c r="G33" s="2"/>
      <c r="H33" s="2"/>
      <c r="I33" s="2"/>
      <c r="J33" s="1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0"/>
      <c r="AC33" s="2"/>
    </row>
    <row r="34" ht="28.5" customHeight="1" spans="1:29">
      <c r="A34" s="2"/>
      <c r="B34" s="26"/>
      <c r="C34" s="27"/>
      <c r="D34" s="28"/>
      <c r="E34" s="2"/>
      <c r="F34" s="2"/>
      <c r="G34" s="2"/>
      <c r="H34" s="2"/>
      <c r="I34" s="2"/>
      <c r="J34" s="1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0"/>
      <c r="AC34" s="2"/>
    </row>
    <row r="35" ht="28.5" customHeight="1" spans="1:29">
      <c r="A35" s="2"/>
      <c r="B35" s="26"/>
      <c r="C35" s="27"/>
      <c r="D35" s="28"/>
      <c r="E35" s="2"/>
      <c r="F35" s="2"/>
      <c r="G35" s="2"/>
      <c r="H35" s="2"/>
      <c r="I35" s="2"/>
      <c r="J35" s="1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0"/>
      <c r="AC35" s="2"/>
    </row>
    <row r="36" ht="28.5" customHeight="1" spans="1:29">
      <c r="A36" s="2"/>
      <c r="B36" s="26"/>
      <c r="C36" s="27"/>
      <c r="D36" s="28"/>
      <c r="E36" s="2"/>
      <c r="F36" s="2"/>
      <c r="G36" s="2"/>
      <c r="H36" s="2"/>
      <c r="I36" s="2"/>
      <c r="J36" s="10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0"/>
      <c r="AC36" s="2"/>
    </row>
    <row r="37" ht="28.5" customHeight="1" spans="1:29">
      <c r="A37" s="2"/>
      <c r="B37" s="26"/>
      <c r="C37" s="27"/>
      <c r="D37" s="28"/>
      <c r="E37" s="2"/>
      <c r="F37" s="2"/>
      <c r="G37" s="2"/>
      <c r="H37" s="2"/>
      <c r="I37" s="2"/>
      <c r="J37" s="1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0"/>
      <c r="AC37" s="2"/>
    </row>
    <row r="38" ht="28.5" customHeight="1" spans="1:29">
      <c r="A38" s="2"/>
      <c r="B38" s="26"/>
      <c r="C38" s="27"/>
      <c r="D38" s="28"/>
      <c r="E38" s="2"/>
      <c r="F38" s="2"/>
      <c r="G38" s="2"/>
      <c r="H38" s="2"/>
      <c r="I38" s="2"/>
      <c r="J38" s="1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0"/>
      <c r="AC38" s="2"/>
    </row>
    <row r="39" ht="28.5" customHeight="1" spans="1:29">
      <c r="A39" s="2"/>
      <c r="B39" s="26"/>
      <c r="C39" s="27"/>
      <c r="D39" s="28"/>
      <c r="E39" s="2"/>
      <c r="F39" s="2"/>
      <c r="G39" s="2"/>
      <c r="H39" s="2"/>
      <c r="I39" s="2"/>
      <c r="J39" s="1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0"/>
      <c r="AC39" s="2"/>
    </row>
    <row r="40" ht="28.5" customHeight="1" spans="1:29">
      <c r="A40" s="2"/>
      <c r="B40" s="26"/>
      <c r="C40" s="27"/>
      <c r="D40" s="28"/>
      <c r="E40" s="2"/>
      <c r="F40" s="2"/>
      <c r="G40" s="2"/>
      <c r="H40" s="2"/>
      <c r="I40" s="2"/>
      <c r="J40" s="1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0"/>
      <c r="AC40" s="2"/>
    </row>
    <row r="41" ht="28.5" customHeight="1" spans="1:29">
      <c r="A41" s="2"/>
      <c r="B41" s="26"/>
      <c r="C41" s="27"/>
      <c r="D41" s="28"/>
      <c r="E41" s="2"/>
      <c r="F41" s="2"/>
      <c r="G41" s="2"/>
      <c r="H41" s="2"/>
      <c r="I41" s="2"/>
      <c r="J41" s="1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0"/>
      <c r="AC41" s="2"/>
    </row>
    <row r="42" ht="28.5" customHeight="1" spans="1:29">
      <c r="A42" s="2"/>
      <c r="B42" s="26"/>
      <c r="C42" s="27"/>
      <c r="D42" s="28"/>
      <c r="E42" s="2"/>
      <c r="F42" s="2"/>
      <c r="G42" s="2"/>
      <c r="H42" s="2"/>
      <c r="I42" s="2"/>
      <c r="J42" s="1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0"/>
      <c r="AC42" s="2"/>
    </row>
    <row r="43" ht="28.5" customHeight="1" spans="1:29">
      <c r="A43" s="2"/>
      <c r="B43" s="26"/>
      <c r="C43" s="27"/>
      <c r="D43" s="28"/>
      <c r="E43" s="2"/>
      <c r="F43" s="2"/>
      <c r="G43" s="2"/>
      <c r="H43" s="2"/>
      <c r="I43" s="2"/>
      <c r="J43" s="1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0"/>
      <c r="AC43" s="2"/>
    </row>
    <row r="44" ht="28.5" customHeight="1" spans="1:29">
      <c r="A44" s="2"/>
      <c r="B44" s="26"/>
      <c r="C44" s="27"/>
      <c r="D44" s="28"/>
      <c r="E44" s="2"/>
      <c r="F44" s="2"/>
      <c r="G44" s="2"/>
      <c r="H44" s="2"/>
      <c r="I44" s="2"/>
      <c r="J44" s="1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0"/>
      <c r="AC44" s="2"/>
    </row>
    <row r="45" ht="28.5" customHeight="1" spans="1:29">
      <c r="A45" s="2"/>
      <c r="B45" s="26"/>
      <c r="C45" s="27"/>
      <c r="D45" s="28"/>
      <c r="E45" s="2"/>
      <c r="F45" s="2"/>
      <c r="G45" s="2"/>
      <c r="H45" s="2"/>
      <c r="I45" s="2"/>
      <c r="J45" s="10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0"/>
      <c r="AC45" s="2"/>
    </row>
    <row r="46" ht="28.5" customHeight="1" spans="1:29">
      <c r="A46" s="2"/>
      <c r="B46" s="26"/>
      <c r="C46" s="27"/>
      <c r="D46" s="28"/>
      <c r="E46" s="2"/>
      <c r="F46" s="2"/>
      <c r="G46" s="2"/>
      <c r="H46" s="2"/>
      <c r="I46" s="2"/>
      <c r="J46" s="10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0"/>
      <c r="AC46" s="2"/>
    </row>
    <row r="47" ht="28.5" customHeight="1" spans="1:29">
      <c r="A47" s="2"/>
      <c r="B47" s="26"/>
      <c r="C47" s="27"/>
      <c r="D47" s="28"/>
      <c r="E47" s="2"/>
      <c r="F47" s="2"/>
      <c r="G47" s="2"/>
      <c r="H47" s="2"/>
      <c r="I47" s="2"/>
      <c r="J47" s="1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0"/>
      <c r="AC47" s="2"/>
    </row>
    <row r="48" ht="28.5" customHeight="1" spans="1:29">
      <c r="A48" s="2"/>
      <c r="B48" s="26"/>
      <c r="C48" s="27"/>
      <c r="D48" s="28"/>
      <c r="E48" s="2"/>
      <c r="F48" s="2"/>
      <c r="G48" s="2"/>
      <c r="H48" s="2"/>
      <c r="I48" s="2"/>
      <c r="J48" s="10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0"/>
      <c r="AC48" s="2"/>
    </row>
    <row r="49" ht="28.5" customHeight="1" spans="1:29">
      <c r="A49" s="2"/>
      <c r="B49" s="26"/>
      <c r="C49" s="27"/>
      <c r="D49" s="28"/>
      <c r="E49" s="2"/>
      <c r="F49" s="2"/>
      <c r="G49" s="2"/>
      <c r="H49" s="2"/>
      <c r="I49" s="2"/>
      <c r="J49" s="10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0"/>
      <c r="AC49" s="2"/>
    </row>
    <row r="50" ht="28.5" customHeight="1" spans="1:29">
      <c r="A50" s="2"/>
      <c r="B50" s="26"/>
      <c r="C50" s="27"/>
      <c r="D50" s="28"/>
      <c r="E50" s="2"/>
      <c r="F50" s="2"/>
      <c r="G50" s="2"/>
      <c r="H50" s="2"/>
      <c r="I50" s="2"/>
      <c r="J50" s="10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0"/>
      <c r="AC50" s="2"/>
    </row>
    <row r="51" ht="28.5" customHeight="1" spans="1:29">
      <c r="A51" s="2"/>
      <c r="B51" s="26"/>
      <c r="C51" s="27"/>
      <c r="D51" s="28"/>
      <c r="E51" s="2"/>
      <c r="F51" s="2"/>
      <c r="G51" s="2"/>
      <c r="H51" s="2"/>
      <c r="I51" s="2"/>
      <c r="J51" s="10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0"/>
      <c r="AC51" s="2"/>
    </row>
    <row r="52" ht="28.5" customHeight="1" spans="1:29">
      <c r="A52" s="2"/>
      <c r="B52" s="26"/>
      <c r="C52" s="27"/>
      <c r="D52" s="28"/>
      <c r="E52" s="2"/>
      <c r="F52" s="2"/>
      <c r="G52" s="2"/>
      <c r="H52" s="2"/>
      <c r="I52" s="2"/>
      <c r="J52" s="10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0"/>
      <c r="AC52" s="2"/>
    </row>
    <row r="53" ht="28.5" customHeight="1" spans="1:29">
      <c r="A53" s="2"/>
      <c r="B53" s="26"/>
      <c r="C53" s="27"/>
      <c r="D53" s="28"/>
      <c r="E53" s="2"/>
      <c r="F53" s="2"/>
      <c r="G53" s="2"/>
      <c r="H53" s="2"/>
      <c r="I53" s="2"/>
      <c r="J53" s="10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0"/>
      <c r="AC53" s="2"/>
    </row>
    <row r="54" ht="28.5" customHeight="1" spans="1:29">
      <c r="A54" s="2"/>
      <c r="B54" s="26"/>
      <c r="C54" s="27"/>
      <c r="D54" s="28"/>
      <c r="E54" s="2"/>
      <c r="F54" s="2"/>
      <c r="G54" s="2"/>
      <c r="H54" s="2"/>
      <c r="I54" s="2"/>
      <c r="J54" s="10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0"/>
      <c r="AC54" s="2"/>
    </row>
    <row r="55" ht="28.5" customHeight="1" spans="1:29">
      <c r="A55" s="2"/>
      <c r="B55" s="26"/>
      <c r="C55" s="27"/>
      <c r="D55" s="28"/>
      <c r="E55" s="2"/>
      <c r="F55" s="2"/>
      <c r="G55" s="2"/>
      <c r="H55" s="2"/>
      <c r="I55" s="2"/>
      <c r="J55" s="10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0"/>
      <c r="AC55" s="2"/>
    </row>
    <row r="56" ht="28.5" customHeight="1" spans="1:29">
      <c r="A56" s="2"/>
      <c r="B56" s="26"/>
      <c r="C56" s="27"/>
      <c r="D56" s="28"/>
      <c r="E56" s="2"/>
      <c r="F56" s="2"/>
      <c r="G56" s="2"/>
      <c r="H56" s="2"/>
      <c r="I56" s="2"/>
      <c r="J56" s="10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0"/>
      <c r="AC56" s="2"/>
    </row>
    <row r="57" ht="28.5" customHeight="1" spans="1:29">
      <c r="A57" s="2"/>
      <c r="B57" s="26"/>
      <c r="C57" s="27"/>
      <c r="D57" s="28"/>
      <c r="E57" s="2"/>
      <c r="F57" s="2"/>
      <c r="G57" s="2"/>
      <c r="H57" s="2"/>
      <c r="I57" s="2"/>
      <c r="J57" s="10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0"/>
      <c r="AC57" s="2"/>
    </row>
    <row r="58" ht="28.5" customHeight="1" spans="1:29">
      <c r="A58" s="2"/>
      <c r="B58" s="26"/>
      <c r="C58" s="27"/>
      <c r="D58" s="28"/>
      <c r="E58" s="2"/>
      <c r="F58" s="2"/>
      <c r="G58" s="2"/>
      <c r="H58" s="2"/>
      <c r="I58" s="2"/>
      <c r="J58" s="10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0"/>
      <c r="AC58" s="2"/>
    </row>
    <row r="59" ht="28.5" customHeight="1" spans="1:29">
      <c r="A59" s="2"/>
      <c r="B59" s="26"/>
      <c r="C59" s="27"/>
      <c r="D59" s="28"/>
      <c r="E59" s="2"/>
      <c r="F59" s="2"/>
      <c r="G59" s="2"/>
      <c r="H59" s="2"/>
      <c r="I59" s="2"/>
      <c r="J59" s="10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0"/>
      <c r="AC59" s="2"/>
    </row>
    <row r="60" ht="28.5" customHeight="1" spans="1:29">
      <c r="A60" s="2"/>
      <c r="B60" s="26"/>
      <c r="C60" s="27"/>
      <c r="D60" s="28"/>
      <c r="E60" s="2"/>
      <c r="F60" s="2"/>
      <c r="G60" s="2"/>
      <c r="H60" s="2"/>
      <c r="I60" s="2"/>
      <c r="J60" s="10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0"/>
      <c r="AC60" s="2"/>
    </row>
    <row r="61" ht="28.5" customHeight="1" spans="1:29">
      <c r="A61" s="2"/>
      <c r="B61" s="26"/>
      <c r="C61" s="27"/>
      <c r="D61" s="28"/>
      <c r="E61" s="2"/>
      <c r="F61" s="2"/>
      <c r="G61" s="2"/>
      <c r="H61" s="2"/>
      <c r="I61" s="2"/>
      <c r="J61" s="10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0"/>
      <c r="AC61" s="2"/>
    </row>
    <row r="62" ht="28.5" customHeight="1" spans="1:29">
      <c r="A62" s="2"/>
      <c r="B62" s="26"/>
      <c r="C62" s="27"/>
      <c r="D62" s="28"/>
      <c r="E62" s="2"/>
      <c r="F62" s="2"/>
      <c r="G62" s="2"/>
      <c r="H62" s="2"/>
      <c r="I62" s="2"/>
      <c r="J62" s="10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0"/>
      <c r="AC62" s="2"/>
    </row>
    <row r="63" ht="28.5" customHeight="1" spans="1:29">
      <c r="A63" s="2"/>
      <c r="B63" s="26"/>
      <c r="C63" s="27"/>
      <c r="D63" s="28"/>
      <c r="E63" s="2"/>
      <c r="F63" s="2"/>
      <c r="G63" s="2"/>
      <c r="H63" s="2"/>
      <c r="I63" s="2"/>
      <c r="J63" s="1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0"/>
      <c r="AC63" s="2"/>
    </row>
    <row r="64" ht="28.5" customHeight="1" spans="1:29">
      <c r="A64" s="2"/>
      <c r="B64" s="26"/>
      <c r="C64" s="27"/>
      <c r="D64" s="28"/>
      <c r="E64" s="2"/>
      <c r="F64" s="2"/>
      <c r="G64" s="2"/>
      <c r="H64" s="2"/>
      <c r="I64" s="2"/>
      <c r="J64" s="10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0"/>
      <c r="AC64" s="2"/>
    </row>
    <row r="65" ht="28.5" customHeight="1" spans="1:29">
      <c r="A65" s="2"/>
      <c r="B65" s="26"/>
      <c r="C65" s="27"/>
      <c r="D65" s="28"/>
      <c r="E65" s="2"/>
      <c r="F65" s="2"/>
      <c r="G65" s="2"/>
      <c r="H65" s="2"/>
      <c r="I65" s="2"/>
      <c r="J65" s="10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0"/>
      <c r="AC65" s="2"/>
    </row>
    <row r="66" ht="28.5" customHeight="1" spans="1:29">
      <c r="A66" s="2"/>
      <c r="B66" s="26"/>
      <c r="C66" s="27"/>
      <c r="D66" s="28"/>
      <c r="E66" s="2"/>
      <c r="F66" s="2"/>
      <c r="G66" s="2"/>
      <c r="H66" s="2"/>
      <c r="I66" s="2"/>
      <c r="J66" s="10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0"/>
      <c r="AC66" s="2"/>
    </row>
    <row r="67" ht="28.5" customHeight="1" spans="1:29">
      <c r="A67" s="2"/>
      <c r="B67" s="26"/>
      <c r="C67" s="27"/>
      <c r="D67" s="28"/>
      <c r="E67" s="2"/>
      <c r="F67" s="2"/>
      <c r="G67" s="2"/>
      <c r="H67" s="2"/>
      <c r="I67" s="2"/>
      <c r="J67" s="10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0"/>
      <c r="AC67" s="2"/>
    </row>
    <row r="68" ht="28.5" customHeight="1" spans="1:29">
      <c r="A68" s="2"/>
      <c r="B68" s="26"/>
      <c r="C68" s="27"/>
      <c r="D68" s="28"/>
      <c r="E68" s="2"/>
      <c r="F68" s="2"/>
      <c r="G68" s="2"/>
      <c r="H68" s="2"/>
      <c r="I68" s="2"/>
      <c r="J68" s="1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0"/>
      <c r="AC68" s="2"/>
    </row>
    <row r="69" ht="28.5" customHeight="1" spans="1:29">
      <c r="A69" s="2"/>
      <c r="B69" s="26"/>
      <c r="C69" s="27"/>
      <c r="D69" s="28"/>
      <c r="E69" s="2"/>
      <c r="F69" s="2"/>
      <c r="G69" s="2"/>
      <c r="H69" s="2"/>
      <c r="I69" s="2"/>
      <c r="J69" s="10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0"/>
      <c r="AC69" s="2"/>
    </row>
    <row r="70" ht="28.5" customHeight="1" spans="1:29">
      <c r="A70" s="2"/>
      <c r="B70" s="26"/>
      <c r="C70" s="27"/>
      <c r="D70" s="28"/>
      <c r="E70" s="2"/>
      <c r="F70" s="2"/>
      <c r="G70" s="2"/>
      <c r="H70" s="2"/>
      <c r="I70" s="2"/>
      <c r="J70" s="10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0"/>
      <c r="AC70" s="2"/>
    </row>
    <row r="71" ht="28.5" customHeight="1" spans="1:29">
      <c r="A71" s="2"/>
      <c r="B71" s="26"/>
      <c r="C71" s="27"/>
      <c r="D71" s="28"/>
      <c r="E71" s="2"/>
      <c r="F71" s="2"/>
      <c r="G71" s="2"/>
      <c r="H71" s="2"/>
      <c r="I71" s="2"/>
      <c r="J71" s="10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0"/>
      <c r="AC71" s="2"/>
    </row>
    <row r="72" ht="28.5" customHeight="1" spans="1:29">
      <c r="A72" s="2"/>
      <c r="B72" s="26"/>
      <c r="C72" s="27"/>
      <c r="D72" s="28"/>
      <c r="E72" s="2"/>
      <c r="F72" s="2"/>
      <c r="G72" s="2"/>
      <c r="H72" s="2"/>
      <c r="I72" s="2"/>
      <c r="J72" s="10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0"/>
      <c r="AC72" s="2"/>
    </row>
    <row r="73" ht="28.5" customHeight="1" spans="1:29">
      <c r="A73" s="2"/>
      <c r="B73" s="26"/>
      <c r="C73" s="27"/>
      <c r="D73" s="28"/>
      <c r="E73" s="2"/>
      <c r="F73" s="2"/>
      <c r="G73" s="2"/>
      <c r="H73" s="2"/>
      <c r="I73" s="2"/>
      <c r="J73" s="10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0"/>
      <c r="AC73" s="2"/>
    </row>
    <row r="74" ht="28.5" customHeight="1" spans="1:29">
      <c r="A74" s="2"/>
      <c r="B74" s="26"/>
      <c r="C74" s="27"/>
      <c r="D74" s="28"/>
      <c r="E74" s="2"/>
      <c r="F74" s="2"/>
      <c r="G74" s="2"/>
      <c r="H74" s="2"/>
      <c r="I74" s="2"/>
      <c r="J74" s="10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0"/>
      <c r="AC74" s="2"/>
    </row>
    <row r="75" ht="28.5" customHeight="1" spans="1:29">
      <c r="A75" s="2"/>
      <c r="B75" s="26"/>
      <c r="C75" s="27"/>
      <c r="D75" s="28"/>
      <c r="E75" s="2"/>
      <c r="F75" s="2"/>
      <c r="G75" s="2"/>
      <c r="H75" s="2"/>
      <c r="I75" s="2"/>
      <c r="J75" s="10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0"/>
      <c r="AC75" s="2"/>
    </row>
    <row r="76" ht="28.5" customHeight="1" spans="1:29">
      <c r="A76" s="2"/>
      <c r="B76" s="26"/>
      <c r="C76" s="27"/>
      <c r="D76" s="28"/>
      <c r="E76" s="2"/>
      <c r="F76" s="2"/>
      <c r="G76" s="2"/>
      <c r="H76" s="2"/>
      <c r="I76" s="2"/>
      <c r="J76" s="10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0"/>
      <c r="AC76" s="2"/>
    </row>
    <row r="77" ht="28.5" customHeight="1" spans="1:29">
      <c r="A77" s="2"/>
      <c r="B77" s="26"/>
      <c r="C77" s="27"/>
      <c r="D77" s="28"/>
      <c r="E77" s="2"/>
      <c r="F77" s="2"/>
      <c r="G77" s="2"/>
      <c r="H77" s="2"/>
      <c r="I77" s="2"/>
      <c r="J77" s="10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0"/>
      <c r="AC77" s="2"/>
    </row>
    <row r="78" ht="28.5" customHeight="1" spans="1:29">
      <c r="A78" s="2"/>
      <c r="B78" s="26"/>
      <c r="C78" s="27"/>
      <c r="D78" s="28"/>
      <c r="E78" s="2"/>
      <c r="F78" s="2"/>
      <c r="G78" s="2"/>
      <c r="H78" s="2"/>
      <c r="I78" s="2"/>
      <c r="J78" s="10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0"/>
      <c r="AC78" s="2"/>
    </row>
    <row r="79" ht="28.5" customHeight="1" spans="1:29">
      <c r="A79" s="2"/>
      <c r="B79" s="26"/>
      <c r="C79" s="27"/>
      <c r="D79" s="28"/>
      <c r="E79" s="2"/>
      <c r="F79" s="2"/>
      <c r="G79" s="2"/>
      <c r="H79" s="2"/>
      <c r="I79" s="2"/>
      <c r="J79" s="10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0"/>
      <c r="AC79" s="2"/>
    </row>
    <row r="80" ht="28.5" customHeight="1" spans="1:29">
      <c r="A80" s="2"/>
      <c r="B80" s="26"/>
      <c r="C80" s="27"/>
      <c r="D80" s="28"/>
      <c r="E80" s="2"/>
      <c r="F80" s="2"/>
      <c r="G80" s="2"/>
      <c r="H80" s="2"/>
      <c r="I80" s="2"/>
      <c r="J80" s="10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0"/>
      <c r="AC80" s="2"/>
    </row>
    <row r="81" ht="28.5" customHeight="1" spans="1:29">
      <c r="A81" s="2"/>
      <c r="B81" s="26"/>
      <c r="C81" s="27"/>
      <c r="D81" s="28"/>
      <c r="E81" s="2"/>
      <c r="F81" s="2"/>
      <c r="G81" s="2"/>
      <c r="H81" s="2"/>
      <c r="I81" s="2"/>
      <c r="J81" s="10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0"/>
      <c r="AC81" s="2"/>
    </row>
    <row r="82" ht="28.5" customHeight="1" spans="1:29">
      <c r="A82" s="2"/>
      <c r="B82" s="26"/>
      <c r="C82" s="27"/>
      <c r="D82" s="28"/>
      <c r="E82" s="2"/>
      <c r="F82" s="2"/>
      <c r="G82" s="2"/>
      <c r="H82" s="2"/>
      <c r="I82" s="2"/>
      <c r="J82" s="10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0"/>
      <c r="AC82" s="2"/>
    </row>
    <row r="83" ht="28.5" customHeight="1" spans="1:29">
      <c r="A83" s="2"/>
      <c r="B83" s="26"/>
      <c r="C83" s="27"/>
      <c r="D83" s="28"/>
      <c r="E83" s="2"/>
      <c r="F83" s="2"/>
      <c r="G83" s="2"/>
      <c r="H83" s="2"/>
      <c r="I83" s="2"/>
      <c r="J83" s="10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0"/>
      <c r="AC83" s="2"/>
    </row>
    <row r="84" ht="28.5" customHeight="1" spans="1:29">
      <c r="A84" s="2"/>
      <c r="B84" s="26"/>
      <c r="C84" s="27"/>
      <c r="D84" s="28"/>
      <c r="E84" s="2"/>
      <c r="F84" s="2"/>
      <c r="G84" s="2"/>
      <c r="H84" s="2"/>
      <c r="I84" s="2"/>
      <c r="J84" s="10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2"/>
    </row>
    <row r="85" ht="28.5" customHeight="1" spans="1:29">
      <c r="A85" s="2"/>
      <c r="B85" s="26"/>
      <c r="C85" s="27"/>
      <c r="D85" s="28"/>
      <c r="E85" s="2"/>
      <c r="F85" s="2"/>
      <c r="G85" s="2"/>
      <c r="H85" s="2"/>
      <c r="I85" s="2"/>
      <c r="J85" s="10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0"/>
      <c r="AC85" s="2"/>
    </row>
    <row r="86" ht="28.5" customHeight="1" spans="1:29">
      <c r="A86" s="2"/>
      <c r="B86" s="26"/>
      <c r="C86" s="27"/>
      <c r="D86" s="28"/>
      <c r="E86" s="2"/>
      <c r="F86" s="2"/>
      <c r="G86" s="2"/>
      <c r="H86" s="2"/>
      <c r="I86" s="2"/>
      <c r="J86" s="10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0"/>
      <c r="AC86" s="2"/>
    </row>
    <row r="87" ht="28.5" customHeight="1" spans="1:29">
      <c r="A87" s="2"/>
      <c r="B87" s="26"/>
      <c r="C87" s="27"/>
      <c r="D87" s="28"/>
      <c r="E87" s="2"/>
      <c r="F87" s="2"/>
      <c r="G87" s="2"/>
      <c r="H87" s="2"/>
      <c r="I87" s="2"/>
      <c r="J87" s="10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0"/>
      <c r="AC87" s="2"/>
    </row>
    <row r="88" ht="28.5" customHeight="1" spans="1:29">
      <c r="A88" s="2"/>
      <c r="B88" s="26"/>
      <c r="C88" s="27"/>
      <c r="D88" s="28"/>
      <c r="E88" s="2"/>
      <c r="F88" s="2"/>
      <c r="G88" s="2"/>
      <c r="H88" s="2"/>
      <c r="I88" s="2"/>
      <c r="J88" s="10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0"/>
      <c r="AC88" s="2"/>
    </row>
    <row r="89" ht="28.5" customHeight="1" spans="1:29">
      <c r="A89" s="2"/>
      <c r="B89" s="26"/>
      <c r="C89" s="27"/>
      <c r="D89" s="28"/>
      <c r="E89" s="2"/>
      <c r="F89" s="2"/>
      <c r="G89" s="2"/>
      <c r="H89" s="2"/>
      <c r="I89" s="2"/>
      <c r="J89" s="10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0"/>
      <c r="AC89" s="2"/>
    </row>
    <row r="90" ht="28.5" customHeight="1" spans="1:29">
      <c r="A90" s="2"/>
      <c r="B90" s="26"/>
      <c r="C90" s="27"/>
      <c r="D90" s="28"/>
      <c r="E90" s="2"/>
      <c r="F90" s="2"/>
      <c r="G90" s="2"/>
      <c r="H90" s="2"/>
      <c r="I90" s="2"/>
      <c r="J90" s="10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0"/>
      <c r="AC90" s="2"/>
    </row>
    <row r="91" ht="28.5" customHeight="1" spans="1:29">
      <c r="A91" s="2"/>
      <c r="B91" s="26"/>
      <c r="C91" s="27"/>
      <c r="D91" s="28"/>
      <c r="E91" s="2"/>
      <c r="F91" s="2"/>
      <c r="G91" s="2"/>
      <c r="H91" s="2"/>
      <c r="I91" s="2"/>
      <c r="J91" s="10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0"/>
      <c r="AC91" s="2"/>
    </row>
    <row r="92" ht="28.5" customHeight="1" spans="1:29">
      <c r="A92" s="2"/>
      <c r="B92" s="26"/>
      <c r="C92" s="27"/>
      <c r="D92" s="28"/>
      <c r="E92" s="2"/>
      <c r="F92" s="2"/>
      <c r="G92" s="2"/>
      <c r="H92" s="2"/>
      <c r="I92" s="2"/>
      <c r="J92" s="10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0"/>
      <c r="AC92" s="2"/>
    </row>
    <row r="93" ht="28.5" customHeight="1" spans="1:29">
      <c r="A93" s="2"/>
      <c r="B93" s="26"/>
      <c r="C93" s="27"/>
      <c r="D93" s="28"/>
      <c r="E93" s="2"/>
      <c r="F93" s="2"/>
      <c r="G93" s="2"/>
      <c r="H93" s="2"/>
      <c r="I93" s="2"/>
      <c r="J93" s="10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0"/>
      <c r="AC93" s="2"/>
    </row>
    <row r="94" ht="28.5" customHeight="1" spans="1:29">
      <c r="A94" s="2"/>
      <c r="B94" s="26"/>
      <c r="C94" s="27"/>
      <c r="D94" s="28"/>
      <c r="E94" s="2"/>
      <c r="F94" s="2"/>
      <c r="G94" s="2"/>
      <c r="H94" s="2"/>
      <c r="I94" s="2"/>
      <c r="J94" s="10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0"/>
      <c r="AC94" s="2"/>
    </row>
    <row r="95" ht="28.5" customHeight="1" spans="1:29">
      <c r="A95" s="2"/>
      <c r="B95" s="26"/>
      <c r="C95" s="27"/>
      <c r="D95" s="28"/>
      <c r="E95" s="2"/>
      <c r="F95" s="2"/>
      <c r="G95" s="2"/>
      <c r="H95" s="2"/>
      <c r="I95" s="2"/>
      <c r="J95" s="10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0"/>
      <c r="AC95" s="2"/>
    </row>
    <row r="96" ht="28.5" customHeight="1" spans="1:29">
      <c r="A96" s="2"/>
      <c r="B96" s="26"/>
      <c r="C96" s="27"/>
      <c r="D96" s="28"/>
      <c r="E96" s="2"/>
      <c r="F96" s="2"/>
      <c r="G96" s="2"/>
      <c r="H96" s="2"/>
      <c r="I96" s="2"/>
      <c r="J96" s="10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0"/>
      <c r="AC96" s="2"/>
    </row>
    <row r="97" ht="28.5" customHeight="1" spans="1:29">
      <c r="A97" s="2"/>
      <c r="B97" s="26"/>
      <c r="C97" s="27"/>
      <c r="D97" s="28"/>
      <c r="E97" s="2"/>
      <c r="F97" s="2"/>
      <c r="G97" s="2"/>
      <c r="H97" s="2"/>
      <c r="I97" s="2"/>
      <c r="J97" s="10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0"/>
      <c r="AC97" s="2"/>
    </row>
    <row r="98" ht="28.5" customHeight="1" spans="1:29">
      <c r="A98" s="2"/>
      <c r="B98" s="26"/>
      <c r="C98" s="27"/>
      <c r="D98" s="28"/>
      <c r="E98" s="2"/>
      <c r="F98" s="2"/>
      <c r="G98" s="2"/>
      <c r="H98" s="2"/>
      <c r="I98" s="2"/>
      <c r="J98" s="10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0"/>
      <c r="AC98" s="2"/>
    </row>
    <row r="99" ht="28.5" customHeight="1" spans="1:29">
      <c r="A99" s="2"/>
      <c r="B99" s="26"/>
      <c r="C99" s="27"/>
      <c r="D99" s="28"/>
      <c r="E99" s="2"/>
      <c r="F99" s="2"/>
      <c r="G99" s="2"/>
      <c r="H99" s="2"/>
      <c r="I99" s="2"/>
      <c r="J99" s="10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0"/>
      <c r="AC99" s="2"/>
    </row>
    <row r="100" ht="28.5" customHeight="1" spans="1:29">
      <c r="A100" s="2"/>
      <c r="B100" s="26"/>
      <c r="C100" s="27"/>
      <c r="D100" s="28"/>
      <c r="E100" s="2"/>
      <c r="F100" s="2"/>
      <c r="G100" s="2"/>
      <c r="H100" s="2"/>
      <c r="I100" s="2"/>
      <c r="J100" s="10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0"/>
      <c r="AC100" s="2"/>
    </row>
  </sheetData>
  <mergeCells count="2">
    <mergeCell ref="A1:AB1"/>
    <mergeCell ref="A2:AB2"/>
  </mergeCells>
  <printOptions horizontalCentered="1" gridLines="1"/>
  <pageMargins left="0" right="0" top="0.196850393700787" bottom="0.196850393700787" header="0" footer="0"/>
  <pageSetup paperSize="9" scale="75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7" customWidth="1"/>
    <col min="3" max="3" width="26.5727272727273" customWidth="1"/>
    <col min="4" max="5" width="10.8545454545455" customWidth="1"/>
    <col min="6" max="6" width="8.57272727272727" customWidth="1"/>
    <col min="7" max="7" width="10.4272727272727" customWidth="1"/>
    <col min="8" max="8" width="25.4272727272727" customWidth="1"/>
    <col min="9" max="9" width="18.4272727272727" customWidth="1"/>
    <col min="10" max="11" width="9.13636363636364" customWidth="1"/>
  </cols>
  <sheetData>
    <row r="1" ht="28.5" customHeight="1" spans="1:11">
      <c r="A1" s="1" t="s">
        <v>317</v>
      </c>
      <c r="I1" s="2"/>
      <c r="J1" s="2"/>
      <c r="K1" s="2"/>
    </row>
    <row r="2" ht="28.5" customHeight="1" spans="1:11">
      <c r="A2" s="1" t="s">
        <v>349</v>
      </c>
      <c r="I2" s="2"/>
      <c r="J2" s="2"/>
      <c r="K2" s="2"/>
    </row>
    <row r="3" ht="28.5" customHeight="1" spans="1:11">
      <c r="A3" s="3" t="s">
        <v>319</v>
      </c>
      <c r="B3" s="4" t="s">
        <v>320</v>
      </c>
      <c r="C3" s="4" t="s">
        <v>3</v>
      </c>
      <c r="D3" s="3" t="s">
        <v>4</v>
      </c>
      <c r="E3" s="3" t="s">
        <v>5</v>
      </c>
      <c r="F3" s="5" t="s">
        <v>259</v>
      </c>
      <c r="G3" s="3" t="s">
        <v>27</v>
      </c>
      <c r="H3" s="5" t="s">
        <v>28</v>
      </c>
      <c r="I3" s="2"/>
      <c r="J3" s="2"/>
      <c r="K3" s="2"/>
    </row>
    <row r="4" ht="28.5" customHeight="1" spans="1:11">
      <c r="A4" s="6"/>
      <c r="B4" s="7"/>
      <c r="C4" s="8" t="s">
        <v>30</v>
      </c>
      <c r="D4" s="9"/>
      <c r="E4" s="6"/>
      <c r="F4" s="10"/>
      <c r="G4" s="6"/>
      <c r="H4" s="10"/>
      <c r="I4" s="2"/>
      <c r="J4" s="2"/>
      <c r="K4" s="2"/>
    </row>
    <row r="5" ht="28.5" customHeight="1" spans="1:11">
      <c r="A5" s="13"/>
      <c r="B5" s="7"/>
      <c r="C5" s="11" t="s">
        <v>152</v>
      </c>
      <c r="D5" s="9"/>
      <c r="E5" s="6"/>
      <c r="F5" s="5">
        <v>31</v>
      </c>
      <c r="G5" s="6"/>
      <c r="H5" s="10"/>
      <c r="I5" s="2"/>
      <c r="J5" s="2"/>
      <c r="K5" s="2"/>
    </row>
    <row r="6" ht="28.5" customHeight="1" spans="1:11">
      <c r="A6" s="6">
        <v>1</v>
      </c>
      <c r="B6" s="7">
        <v>1</v>
      </c>
      <c r="C6" s="14" t="s">
        <v>350</v>
      </c>
      <c r="D6" s="9" t="s">
        <v>154</v>
      </c>
      <c r="E6" s="6">
        <v>6000</v>
      </c>
      <c r="F6" s="15">
        <v>23</v>
      </c>
      <c r="G6" s="9">
        <v>4422</v>
      </c>
      <c r="H6" s="200" t="s">
        <v>157</v>
      </c>
      <c r="I6" s="2"/>
      <c r="J6" s="2"/>
      <c r="K6" s="2"/>
    </row>
    <row r="7" ht="28.5" customHeight="1" spans="1:11">
      <c r="A7" s="6">
        <v>2</v>
      </c>
      <c r="B7" s="7">
        <v>2</v>
      </c>
      <c r="C7" s="14" t="s">
        <v>351</v>
      </c>
      <c r="D7" s="9" t="s">
        <v>154</v>
      </c>
      <c r="E7" s="6">
        <v>6000</v>
      </c>
      <c r="F7" s="15">
        <v>31</v>
      </c>
      <c r="G7" s="9">
        <v>5970</v>
      </c>
      <c r="H7" s="200" t="s">
        <v>352</v>
      </c>
      <c r="I7" s="2"/>
      <c r="J7" s="2"/>
      <c r="K7" s="2"/>
    </row>
    <row r="8" ht="28.5" customHeight="1" spans="1:11">
      <c r="A8" s="6">
        <v>3</v>
      </c>
      <c r="B8" s="7">
        <v>3</v>
      </c>
      <c r="C8" s="14" t="s">
        <v>153</v>
      </c>
      <c r="D8" s="9" t="s">
        <v>154</v>
      </c>
      <c r="E8" s="6">
        <v>6000</v>
      </c>
      <c r="F8" s="15">
        <v>10</v>
      </c>
      <c r="G8" s="9">
        <v>1906</v>
      </c>
      <c r="H8" s="200" t="s">
        <v>155</v>
      </c>
      <c r="I8" s="2"/>
      <c r="J8" s="2"/>
      <c r="K8" s="2"/>
    </row>
    <row r="9" ht="28.5" customHeight="1" spans="1:11">
      <c r="A9" s="6">
        <v>5</v>
      </c>
      <c r="B9" s="7">
        <v>5</v>
      </c>
      <c r="C9" s="14" t="s">
        <v>353</v>
      </c>
      <c r="D9" s="9" t="s">
        <v>154</v>
      </c>
      <c r="E9" s="6">
        <v>6000</v>
      </c>
      <c r="F9" s="15">
        <v>12</v>
      </c>
      <c r="G9" s="9">
        <v>2293</v>
      </c>
      <c r="H9" s="200" t="s">
        <v>354</v>
      </c>
      <c r="I9" s="2"/>
      <c r="J9" s="2"/>
      <c r="K9" s="2"/>
    </row>
    <row r="10" ht="28.5" customHeight="1" spans="1:11">
      <c r="A10" s="6">
        <v>6</v>
      </c>
      <c r="B10" s="7">
        <v>6</v>
      </c>
      <c r="C10" s="14" t="s">
        <v>166</v>
      </c>
      <c r="D10" s="9" t="s">
        <v>154</v>
      </c>
      <c r="E10" s="6">
        <v>6000</v>
      </c>
      <c r="F10" s="15">
        <v>31</v>
      </c>
      <c r="G10" s="9">
        <v>5970</v>
      </c>
      <c r="H10" s="200" t="s">
        <v>167</v>
      </c>
      <c r="I10" s="2"/>
      <c r="J10" s="2"/>
      <c r="K10" s="2"/>
    </row>
    <row r="11" ht="28.5" customHeight="1" spans="1:11">
      <c r="A11" s="6">
        <v>7</v>
      </c>
      <c r="B11" s="7">
        <v>7</v>
      </c>
      <c r="C11" s="14" t="s">
        <v>162</v>
      </c>
      <c r="D11" s="9" t="s">
        <v>154</v>
      </c>
      <c r="E11" s="6">
        <v>6000</v>
      </c>
      <c r="F11" s="15">
        <v>31</v>
      </c>
      <c r="G11" s="9">
        <v>5250</v>
      </c>
      <c r="H11" s="200" t="s">
        <v>163</v>
      </c>
      <c r="I11" s="2"/>
      <c r="J11" s="2"/>
      <c r="K11" s="2"/>
    </row>
    <row r="12" ht="28.5" customHeight="1" spans="1:11">
      <c r="A12" s="6">
        <v>8</v>
      </c>
      <c r="B12" s="7">
        <v>8</v>
      </c>
      <c r="C12" s="14" t="s">
        <v>355</v>
      </c>
      <c r="D12" s="9" t="s">
        <v>154</v>
      </c>
      <c r="E12" s="6">
        <v>6000</v>
      </c>
      <c r="F12" s="15">
        <v>13</v>
      </c>
      <c r="G12" s="9">
        <v>2487</v>
      </c>
      <c r="H12" s="200" t="s">
        <v>161</v>
      </c>
      <c r="I12" s="2"/>
      <c r="J12" s="2"/>
      <c r="K12" s="2"/>
    </row>
    <row r="13" ht="28.5" customHeight="1" spans="1:11">
      <c r="A13" s="6">
        <v>9</v>
      </c>
      <c r="B13" s="7">
        <v>9</v>
      </c>
      <c r="C13" s="14" t="s">
        <v>158</v>
      </c>
      <c r="D13" s="9" t="s">
        <v>154</v>
      </c>
      <c r="E13" s="6">
        <v>6000</v>
      </c>
      <c r="F13" s="15">
        <v>31</v>
      </c>
      <c r="G13" s="9">
        <v>5250</v>
      </c>
      <c r="H13" s="200" t="s">
        <v>159</v>
      </c>
      <c r="I13" s="2"/>
      <c r="J13" s="2"/>
      <c r="K13" s="2"/>
    </row>
    <row r="14" ht="28.5" customHeight="1" spans="1:11">
      <c r="A14" s="6">
        <v>10</v>
      </c>
      <c r="B14" s="7">
        <v>10</v>
      </c>
      <c r="C14" s="14" t="s">
        <v>168</v>
      </c>
      <c r="D14" s="9" t="s">
        <v>154</v>
      </c>
      <c r="E14" s="6">
        <v>6000</v>
      </c>
      <c r="F14" s="15">
        <v>9</v>
      </c>
      <c r="G14" s="9">
        <v>1712</v>
      </c>
      <c r="H14" s="200" t="s">
        <v>169</v>
      </c>
      <c r="I14" s="2"/>
      <c r="J14" s="2"/>
      <c r="K14" s="2"/>
    </row>
    <row r="15" ht="28.5" customHeight="1" spans="1:11">
      <c r="A15" s="6">
        <v>11</v>
      </c>
      <c r="B15" s="7">
        <v>11</v>
      </c>
      <c r="C15" s="14" t="s">
        <v>356</v>
      </c>
      <c r="D15" s="9" t="s">
        <v>154</v>
      </c>
      <c r="E15" s="6">
        <v>6000</v>
      </c>
      <c r="F15" s="15">
        <v>27</v>
      </c>
      <c r="G15" s="9">
        <v>5196</v>
      </c>
      <c r="H15" s="200" t="s">
        <v>184</v>
      </c>
      <c r="I15" s="2"/>
      <c r="J15" s="2"/>
      <c r="K15" s="2"/>
    </row>
    <row r="16" ht="28.5" customHeight="1" spans="1:11">
      <c r="A16" s="6">
        <v>13</v>
      </c>
      <c r="B16" s="7">
        <v>13</v>
      </c>
      <c r="C16" s="14" t="s">
        <v>357</v>
      </c>
      <c r="D16" s="9" t="s">
        <v>154</v>
      </c>
      <c r="E16" s="6">
        <v>6000</v>
      </c>
      <c r="F16" s="15">
        <v>31</v>
      </c>
      <c r="G16" s="9">
        <v>5970</v>
      </c>
      <c r="H16" s="200" t="s">
        <v>358</v>
      </c>
      <c r="I16" s="2"/>
      <c r="J16" s="2"/>
      <c r="K16" s="2"/>
    </row>
    <row r="17" ht="28.5" customHeight="1" spans="1:11">
      <c r="A17" s="6">
        <v>14</v>
      </c>
      <c r="B17" s="7">
        <v>14</v>
      </c>
      <c r="C17" s="14" t="s">
        <v>359</v>
      </c>
      <c r="D17" s="9" t="s">
        <v>154</v>
      </c>
      <c r="E17" s="6">
        <v>6000</v>
      </c>
      <c r="F17" s="15">
        <v>31</v>
      </c>
      <c r="G17" s="9">
        <v>5970</v>
      </c>
      <c r="H17" s="200" t="s">
        <v>360</v>
      </c>
      <c r="I17" s="2"/>
      <c r="J17" s="2"/>
      <c r="K17" s="2"/>
    </row>
    <row r="18" ht="28.5" customHeight="1" spans="1:11">
      <c r="A18" s="6">
        <v>15</v>
      </c>
      <c r="B18" s="7">
        <v>15</v>
      </c>
      <c r="C18" s="14" t="s">
        <v>164</v>
      </c>
      <c r="D18" s="9" t="s">
        <v>154</v>
      </c>
      <c r="E18" s="6">
        <v>6000</v>
      </c>
      <c r="F18" s="15">
        <v>31</v>
      </c>
      <c r="G18" s="9">
        <v>5970</v>
      </c>
      <c r="H18" s="200" t="s">
        <v>361</v>
      </c>
      <c r="I18" s="2"/>
      <c r="J18" s="2"/>
      <c r="K18" s="2"/>
    </row>
    <row r="19" ht="28.5" customHeight="1" spans="1:11">
      <c r="A19" s="6">
        <v>23</v>
      </c>
      <c r="B19" s="6">
        <v>6</v>
      </c>
      <c r="C19" s="14" t="s">
        <v>362</v>
      </c>
      <c r="D19" s="9" t="s">
        <v>301</v>
      </c>
      <c r="E19" s="9">
        <v>13000</v>
      </c>
      <c r="F19" s="15">
        <v>21</v>
      </c>
      <c r="G19" s="9">
        <v>8777</v>
      </c>
      <c r="H19" s="200" t="s">
        <v>363</v>
      </c>
      <c r="I19" s="2"/>
      <c r="J19" s="2"/>
      <c r="K19" s="2"/>
    </row>
    <row r="20" ht="28.5" customHeight="1" spans="1:11">
      <c r="A20" s="6">
        <v>24</v>
      </c>
      <c r="B20" s="6">
        <v>7</v>
      </c>
      <c r="C20" s="14" t="s">
        <v>364</v>
      </c>
      <c r="D20" s="9" t="s">
        <v>301</v>
      </c>
      <c r="E20" s="9">
        <v>11000</v>
      </c>
      <c r="F20" s="15">
        <v>20</v>
      </c>
      <c r="G20" s="9">
        <v>7067</v>
      </c>
      <c r="H20" s="200" t="s">
        <v>365</v>
      </c>
      <c r="I20" s="2"/>
      <c r="J20" s="2"/>
      <c r="K20" s="2"/>
    </row>
    <row r="21" ht="28.5" customHeight="1" spans="1:11">
      <c r="A21" s="6">
        <v>26</v>
      </c>
      <c r="B21" s="6">
        <v>9</v>
      </c>
      <c r="C21" s="14" t="s">
        <v>265</v>
      </c>
      <c r="D21" s="9" t="s">
        <v>301</v>
      </c>
      <c r="E21" s="9">
        <v>9000</v>
      </c>
      <c r="F21" s="15">
        <v>31</v>
      </c>
      <c r="G21" s="9">
        <v>8970</v>
      </c>
      <c r="H21" s="200" t="s">
        <v>267</v>
      </c>
      <c r="I21" s="2"/>
      <c r="J21" s="2"/>
      <c r="K21" s="2"/>
    </row>
    <row r="22" ht="28.5" customHeight="1" spans="1:11">
      <c r="A22" s="6">
        <v>31</v>
      </c>
      <c r="B22" s="6">
        <v>14</v>
      </c>
      <c r="C22" s="14" t="s">
        <v>366</v>
      </c>
      <c r="D22" s="9" t="s">
        <v>301</v>
      </c>
      <c r="E22" s="9">
        <v>10500</v>
      </c>
      <c r="F22" s="15">
        <v>16</v>
      </c>
      <c r="G22" s="9">
        <v>5390</v>
      </c>
      <c r="H22" s="200" t="s">
        <v>367</v>
      </c>
      <c r="I22" s="2"/>
      <c r="J22" s="2"/>
      <c r="K22" s="2"/>
    </row>
    <row r="23" ht="29.25" customHeight="1" spans="1:11">
      <c r="A23" s="6">
        <v>35</v>
      </c>
      <c r="B23" s="6">
        <v>18</v>
      </c>
      <c r="C23" s="14" t="s">
        <v>368</v>
      </c>
      <c r="D23" s="9" t="s">
        <v>272</v>
      </c>
      <c r="E23" s="9">
        <v>15000</v>
      </c>
      <c r="F23" s="15">
        <v>31</v>
      </c>
      <c r="G23" s="9">
        <v>14970</v>
      </c>
      <c r="H23" s="200" t="s">
        <v>369</v>
      </c>
      <c r="I23" s="2"/>
      <c r="J23" s="2"/>
      <c r="K23" s="2"/>
    </row>
    <row r="24" ht="28.5" customHeight="1" spans="1:11">
      <c r="A24" s="6">
        <v>36</v>
      </c>
      <c r="B24" s="6">
        <v>19</v>
      </c>
      <c r="C24" s="14" t="s">
        <v>370</v>
      </c>
      <c r="D24" s="9" t="s">
        <v>301</v>
      </c>
      <c r="E24" s="6">
        <v>10500</v>
      </c>
      <c r="F24" s="15">
        <v>10</v>
      </c>
      <c r="G24" s="9">
        <v>3358</v>
      </c>
      <c r="H24" s="200" t="s">
        <v>371</v>
      </c>
      <c r="I24" s="2"/>
      <c r="J24" s="2"/>
      <c r="K24" s="2"/>
    </row>
    <row r="25" ht="28.5" customHeight="1" spans="1:11">
      <c r="A25" s="19"/>
      <c r="B25" s="20"/>
      <c r="C25" s="21" t="s">
        <v>9</v>
      </c>
      <c r="D25" s="22"/>
      <c r="E25" s="19">
        <v>282500</v>
      </c>
      <c r="F25" s="19"/>
      <c r="G25" s="19">
        <f>SUM(G6:G24)</f>
        <v>106898</v>
      </c>
      <c r="H25" s="23"/>
      <c r="I25" s="19">
        <v>0</v>
      </c>
      <c r="J25" s="2"/>
      <c r="K25" s="2"/>
    </row>
    <row r="26" ht="28.5" customHeight="1" spans="1:11">
      <c r="A26" s="13"/>
      <c r="B26" s="24"/>
      <c r="C26" s="8"/>
      <c r="D26" s="12"/>
      <c r="E26" s="13"/>
      <c r="F26" s="25"/>
      <c r="G26" s="13"/>
      <c r="H26" s="25"/>
      <c r="I26" s="2"/>
      <c r="J26" s="2"/>
      <c r="K26" s="2"/>
    </row>
    <row r="27" ht="28.5" customHeight="1" spans="1:11">
      <c r="A27" s="6"/>
      <c r="B27" s="24" t="s">
        <v>348</v>
      </c>
      <c r="C27" s="24"/>
      <c r="D27" s="24"/>
      <c r="E27" s="13"/>
      <c r="F27" s="25"/>
      <c r="G27" s="24"/>
      <c r="H27" s="24"/>
      <c r="I27" s="2"/>
      <c r="J27" s="2"/>
      <c r="K27" s="2"/>
    </row>
    <row r="28" ht="28.5" customHeight="1" spans="1:11">
      <c r="A28" s="2"/>
      <c r="B28" s="26"/>
      <c r="C28" s="27"/>
      <c r="D28" s="28"/>
      <c r="E28" s="2"/>
      <c r="F28" s="10"/>
      <c r="G28" s="6"/>
      <c r="H28" s="10"/>
      <c r="I28" s="2"/>
      <c r="J28" s="2"/>
      <c r="K28" s="2"/>
    </row>
    <row r="29" ht="28.5" customHeight="1" spans="1:11">
      <c r="A29" s="2"/>
      <c r="B29" s="26"/>
      <c r="C29" s="27"/>
      <c r="D29" s="28"/>
      <c r="E29" s="2"/>
      <c r="F29" s="10"/>
      <c r="G29" s="2"/>
      <c r="H29" s="10"/>
      <c r="I29" s="2"/>
      <c r="J29" s="2"/>
      <c r="K29" s="2"/>
    </row>
    <row r="30" ht="28.5" customHeight="1" spans="1:11">
      <c r="A30" s="2"/>
      <c r="B30" s="26"/>
      <c r="C30" s="27"/>
      <c r="D30" s="28"/>
      <c r="E30" s="2"/>
      <c r="F30" s="10"/>
      <c r="G30" s="2"/>
      <c r="H30" s="10"/>
      <c r="I30" s="2"/>
      <c r="J30" s="2"/>
      <c r="K30" s="2"/>
    </row>
    <row r="31" ht="28.5" customHeight="1" spans="1:11">
      <c r="A31" s="2"/>
      <c r="B31" s="26"/>
      <c r="C31" s="27"/>
      <c r="D31" s="28"/>
      <c r="E31" s="2"/>
      <c r="F31" s="10"/>
      <c r="G31" s="2"/>
      <c r="H31" s="10"/>
      <c r="I31" s="2"/>
      <c r="J31" s="2"/>
      <c r="K31" s="2"/>
    </row>
    <row r="32" ht="28.5" customHeight="1" spans="1:11">
      <c r="A32" s="2"/>
      <c r="B32" s="26"/>
      <c r="C32" s="27"/>
      <c r="D32" s="28"/>
      <c r="E32" s="2"/>
      <c r="F32" s="10"/>
      <c r="G32" s="2"/>
      <c r="H32" s="10"/>
      <c r="I32" s="2"/>
      <c r="J32" s="2"/>
      <c r="K32" s="2"/>
    </row>
    <row r="33" ht="28.5" customHeight="1" spans="1:11">
      <c r="A33" s="2"/>
      <c r="B33" s="26"/>
      <c r="C33" s="27"/>
      <c r="D33" s="28"/>
      <c r="E33" s="2"/>
      <c r="F33" s="10"/>
      <c r="G33" s="2"/>
      <c r="H33" s="10"/>
      <c r="I33" s="2"/>
      <c r="J33" s="2"/>
      <c r="K33" s="2"/>
    </row>
    <row r="34" ht="28.5" customHeight="1" spans="1:11">
      <c r="A34" s="2"/>
      <c r="B34" s="26"/>
      <c r="C34" s="27"/>
      <c r="D34" s="28"/>
      <c r="E34" s="2"/>
      <c r="F34" s="10"/>
      <c r="G34" s="2"/>
      <c r="H34" s="10"/>
      <c r="I34" s="2"/>
      <c r="J34" s="2"/>
      <c r="K34" s="2"/>
    </row>
    <row r="35" ht="28.5" customHeight="1" spans="1:11">
      <c r="A35" s="2"/>
      <c r="B35" s="26"/>
      <c r="C35" s="27"/>
      <c r="D35" s="28"/>
      <c r="E35" s="2"/>
      <c r="F35" s="10"/>
      <c r="G35" s="2"/>
      <c r="H35" s="10"/>
      <c r="I35" s="2"/>
      <c r="J35" s="2"/>
      <c r="K35" s="2"/>
    </row>
    <row r="36" ht="28.5" customHeight="1" spans="1:11">
      <c r="A36" s="2"/>
      <c r="B36" s="26"/>
      <c r="C36" s="27"/>
      <c r="D36" s="28"/>
      <c r="E36" s="2"/>
      <c r="F36" s="10"/>
      <c r="G36" s="2"/>
      <c r="H36" s="10"/>
      <c r="I36" s="2"/>
      <c r="J36" s="2"/>
      <c r="K36" s="2"/>
    </row>
    <row r="37" ht="28.5" customHeight="1" spans="1:11">
      <c r="A37" s="2"/>
      <c r="B37" s="26"/>
      <c r="C37" s="27"/>
      <c r="D37" s="28"/>
      <c r="E37" s="2"/>
      <c r="F37" s="10"/>
      <c r="G37" s="2"/>
      <c r="H37" s="10"/>
      <c r="I37" s="2"/>
      <c r="J37" s="2"/>
      <c r="K37" s="2"/>
    </row>
    <row r="38" ht="28.5" customHeight="1" spans="1:11">
      <c r="A38" s="2"/>
      <c r="B38" s="26"/>
      <c r="C38" s="27"/>
      <c r="D38" s="28"/>
      <c r="E38" s="2"/>
      <c r="F38" s="10"/>
      <c r="G38" s="2"/>
      <c r="H38" s="10"/>
      <c r="I38" s="2"/>
      <c r="J38" s="2"/>
      <c r="K38" s="2"/>
    </row>
    <row r="39" ht="28.5" customHeight="1" spans="1:11">
      <c r="A39" s="2"/>
      <c r="B39" s="26"/>
      <c r="C39" s="27"/>
      <c r="D39" s="28"/>
      <c r="E39" s="2"/>
      <c r="F39" s="10"/>
      <c r="G39" s="2"/>
      <c r="H39" s="10"/>
      <c r="I39" s="2"/>
      <c r="J39" s="2"/>
      <c r="K39" s="2"/>
    </row>
    <row r="40" ht="28.5" customHeight="1" spans="1:11">
      <c r="A40" s="2"/>
      <c r="B40" s="26"/>
      <c r="C40" s="27"/>
      <c r="D40" s="28"/>
      <c r="E40" s="2"/>
      <c r="F40" s="10"/>
      <c r="G40" s="2"/>
      <c r="H40" s="10"/>
      <c r="I40" s="2"/>
      <c r="J40" s="2"/>
      <c r="K40" s="2"/>
    </row>
    <row r="41" ht="28.5" customHeight="1" spans="1:11">
      <c r="A41" s="2"/>
      <c r="B41" s="26"/>
      <c r="C41" s="27"/>
      <c r="D41" s="28"/>
      <c r="E41" s="2"/>
      <c r="F41" s="10"/>
      <c r="G41" s="2"/>
      <c r="H41" s="10"/>
      <c r="I41" s="2"/>
      <c r="J41" s="2"/>
      <c r="K41" s="2"/>
    </row>
    <row r="42" ht="28.5" customHeight="1" spans="1:11">
      <c r="A42" s="2"/>
      <c r="B42" s="26"/>
      <c r="C42" s="27"/>
      <c r="D42" s="28"/>
      <c r="E42" s="2"/>
      <c r="F42" s="10"/>
      <c r="G42" s="2"/>
      <c r="H42" s="10"/>
      <c r="I42" s="2"/>
      <c r="J42" s="2"/>
      <c r="K42" s="2"/>
    </row>
    <row r="43" ht="28.5" customHeight="1" spans="1:11">
      <c r="A43" s="2"/>
      <c r="B43" s="26"/>
      <c r="C43" s="27"/>
      <c r="D43" s="28"/>
      <c r="E43" s="2"/>
      <c r="F43" s="10"/>
      <c r="G43" s="2"/>
      <c r="H43" s="10"/>
      <c r="I43" s="2"/>
      <c r="J43" s="2"/>
      <c r="K43" s="2"/>
    </row>
    <row r="44" ht="28.5" customHeight="1" spans="1:11">
      <c r="A44" s="2"/>
      <c r="B44" s="26"/>
      <c r="C44" s="27"/>
      <c r="D44" s="28"/>
      <c r="E44" s="2"/>
      <c r="F44" s="10"/>
      <c r="G44" s="2"/>
      <c r="H44" s="10"/>
      <c r="I44" s="2"/>
      <c r="J44" s="2"/>
      <c r="K44" s="2"/>
    </row>
    <row r="45" ht="28.5" customHeight="1" spans="1:11">
      <c r="A45" s="2"/>
      <c r="B45" s="26"/>
      <c r="C45" s="27"/>
      <c r="D45" s="28"/>
      <c r="E45" s="2"/>
      <c r="F45" s="10"/>
      <c r="G45" s="2"/>
      <c r="H45" s="10"/>
      <c r="I45" s="2"/>
      <c r="J45" s="2"/>
      <c r="K45" s="2"/>
    </row>
    <row r="46" ht="28.5" customHeight="1" spans="1:11">
      <c r="A46" s="2"/>
      <c r="B46" s="26"/>
      <c r="C46" s="27"/>
      <c r="D46" s="28"/>
      <c r="E46" s="2"/>
      <c r="F46" s="10"/>
      <c r="G46" s="2"/>
      <c r="H46" s="10"/>
      <c r="I46" s="2"/>
      <c r="J46" s="2"/>
      <c r="K46" s="2"/>
    </row>
    <row r="47" ht="28.5" customHeight="1" spans="1:11">
      <c r="A47" s="2"/>
      <c r="B47" s="26"/>
      <c r="C47" s="27"/>
      <c r="D47" s="28"/>
      <c r="E47" s="2"/>
      <c r="F47" s="10"/>
      <c r="G47" s="2"/>
      <c r="H47" s="10"/>
      <c r="I47" s="2"/>
      <c r="J47" s="2"/>
      <c r="K47" s="2"/>
    </row>
    <row r="48" ht="28.5" customHeight="1" spans="1:11">
      <c r="A48" s="2"/>
      <c r="B48" s="26"/>
      <c r="C48" s="27"/>
      <c r="D48" s="28"/>
      <c r="E48" s="2"/>
      <c r="F48" s="10"/>
      <c r="G48" s="2"/>
      <c r="H48" s="10"/>
      <c r="I48" s="2"/>
      <c r="J48" s="2"/>
      <c r="K48" s="2"/>
    </row>
    <row r="49" ht="28.5" customHeight="1" spans="1:11">
      <c r="A49" s="2"/>
      <c r="B49" s="26"/>
      <c r="C49" s="27"/>
      <c r="D49" s="28"/>
      <c r="E49" s="2"/>
      <c r="F49" s="10"/>
      <c r="G49" s="2"/>
      <c r="H49" s="10"/>
      <c r="I49" s="2"/>
      <c r="J49" s="2"/>
      <c r="K49" s="2"/>
    </row>
    <row r="50" ht="28.5" customHeight="1" spans="1:11">
      <c r="A50" s="2"/>
      <c r="B50" s="26"/>
      <c r="C50" s="27"/>
      <c r="D50" s="28"/>
      <c r="E50" s="2"/>
      <c r="F50" s="10"/>
      <c r="G50" s="2"/>
      <c r="H50" s="10"/>
      <c r="I50" s="2"/>
      <c r="J50" s="2"/>
      <c r="K50" s="2"/>
    </row>
    <row r="51" ht="28.5" customHeight="1" spans="1:11">
      <c r="A51" s="2"/>
      <c r="B51" s="26"/>
      <c r="C51" s="27"/>
      <c r="D51" s="28"/>
      <c r="E51" s="2"/>
      <c r="F51" s="10"/>
      <c r="G51" s="2"/>
      <c r="H51" s="10"/>
      <c r="I51" s="2"/>
      <c r="J51" s="2"/>
      <c r="K51" s="2"/>
    </row>
    <row r="52" ht="28.5" customHeight="1" spans="1:11">
      <c r="A52" s="2"/>
      <c r="B52" s="26"/>
      <c r="C52" s="27"/>
      <c r="D52" s="28"/>
      <c r="E52" s="2"/>
      <c r="F52" s="10"/>
      <c r="G52" s="2"/>
      <c r="H52" s="10"/>
      <c r="I52" s="2"/>
      <c r="J52" s="2"/>
      <c r="K52" s="2"/>
    </row>
    <row r="53" ht="28.5" customHeight="1" spans="1:11">
      <c r="A53" s="2"/>
      <c r="B53" s="26"/>
      <c r="C53" s="27"/>
      <c r="D53" s="28"/>
      <c r="E53" s="2"/>
      <c r="F53" s="10"/>
      <c r="G53" s="2"/>
      <c r="H53" s="10"/>
      <c r="I53" s="2"/>
      <c r="J53" s="2"/>
      <c r="K53" s="2"/>
    </row>
    <row r="54" ht="28.5" customHeight="1" spans="1:11">
      <c r="A54" s="2"/>
      <c r="B54" s="26"/>
      <c r="C54" s="27"/>
      <c r="D54" s="28"/>
      <c r="E54" s="2"/>
      <c r="F54" s="10"/>
      <c r="G54" s="2"/>
      <c r="H54" s="10"/>
      <c r="I54" s="2"/>
      <c r="J54" s="2"/>
      <c r="K54" s="2"/>
    </row>
    <row r="55" ht="28.5" customHeight="1" spans="1:11">
      <c r="A55" s="2"/>
      <c r="B55" s="26"/>
      <c r="C55" s="27"/>
      <c r="D55" s="28"/>
      <c r="E55" s="2"/>
      <c r="F55" s="10"/>
      <c r="G55" s="2"/>
      <c r="H55" s="10"/>
      <c r="I55" s="2"/>
      <c r="J55" s="2"/>
      <c r="K55" s="2"/>
    </row>
    <row r="56" ht="28.5" customHeight="1" spans="1:11">
      <c r="A56" s="2"/>
      <c r="B56" s="26"/>
      <c r="C56" s="27"/>
      <c r="D56" s="28"/>
      <c r="E56" s="2"/>
      <c r="F56" s="10"/>
      <c r="G56" s="2"/>
      <c r="H56" s="10"/>
      <c r="I56" s="2"/>
      <c r="J56" s="2"/>
      <c r="K56" s="2"/>
    </row>
    <row r="57" ht="28.5" customHeight="1" spans="1:11">
      <c r="A57" s="2"/>
      <c r="B57" s="26"/>
      <c r="C57" s="27"/>
      <c r="D57" s="28"/>
      <c r="E57" s="2"/>
      <c r="F57" s="10"/>
      <c r="G57" s="2"/>
      <c r="H57" s="10"/>
      <c r="I57" s="2"/>
      <c r="J57" s="2"/>
      <c r="K57" s="2"/>
    </row>
    <row r="58" ht="28.5" customHeight="1" spans="1:11">
      <c r="A58" s="2"/>
      <c r="B58" s="26"/>
      <c r="C58" s="27"/>
      <c r="D58" s="28"/>
      <c r="E58" s="2"/>
      <c r="F58" s="10"/>
      <c r="G58" s="2"/>
      <c r="H58" s="10"/>
      <c r="I58" s="2"/>
      <c r="J58" s="2"/>
      <c r="K58" s="2"/>
    </row>
    <row r="59" ht="28.5" customHeight="1" spans="1:11">
      <c r="A59" s="2"/>
      <c r="B59" s="26"/>
      <c r="C59" s="27"/>
      <c r="D59" s="28"/>
      <c r="E59" s="2"/>
      <c r="F59" s="10"/>
      <c r="G59" s="2"/>
      <c r="H59" s="10"/>
      <c r="I59" s="2"/>
      <c r="J59" s="2"/>
      <c r="K59" s="2"/>
    </row>
    <row r="60" ht="28.5" customHeight="1" spans="1:11">
      <c r="A60" s="2"/>
      <c r="B60" s="26"/>
      <c r="C60" s="27"/>
      <c r="D60" s="28"/>
      <c r="E60" s="2"/>
      <c r="F60" s="10"/>
      <c r="G60" s="2"/>
      <c r="H60" s="10"/>
      <c r="I60" s="2"/>
      <c r="J60" s="2"/>
      <c r="K60" s="2"/>
    </row>
    <row r="61" ht="28.5" customHeight="1" spans="1:11">
      <c r="A61" s="2"/>
      <c r="B61" s="26"/>
      <c r="C61" s="27"/>
      <c r="D61" s="28"/>
      <c r="E61" s="2"/>
      <c r="F61" s="10"/>
      <c r="G61" s="2"/>
      <c r="H61" s="10"/>
      <c r="I61" s="2"/>
      <c r="J61" s="2"/>
      <c r="K61" s="2"/>
    </row>
    <row r="62" ht="28.5" customHeight="1" spans="1:11">
      <c r="A62" s="2"/>
      <c r="B62" s="26"/>
      <c r="C62" s="27"/>
      <c r="D62" s="28"/>
      <c r="E62" s="2"/>
      <c r="F62" s="10"/>
      <c r="G62" s="2"/>
      <c r="H62" s="10"/>
      <c r="I62" s="2"/>
      <c r="J62" s="2"/>
      <c r="K62" s="2"/>
    </row>
    <row r="63" ht="28.5" customHeight="1" spans="1:11">
      <c r="A63" s="2"/>
      <c r="B63" s="26"/>
      <c r="C63" s="27"/>
      <c r="D63" s="28"/>
      <c r="E63" s="2"/>
      <c r="F63" s="10"/>
      <c r="G63" s="2"/>
      <c r="H63" s="10"/>
      <c r="I63" s="2"/>
      <c r="J63" s="2"/>
      <c r="K63" s="2"/>
    </row>
    <row r="64" ht="28.5" customHeight="1" spans="1:11">
      <c r="A64" s="2"/>
      <c r="B64" s="26"/>
      <c r="C64" s="27"/>
      <c r="D64" s="28"/>
      <c r="E64" s="2"/>
      <c r="F64" s="10"/>
      <c r="G64" s="2"/>
      <c r="H64" s="10"/>
      <c r="I64" s="2"/>
      <c r="J64" s="2"/>
      <c r="K64" s="2"/>
    </row>
    <row r="65" ht="28.5" customHeight="1" spans="1:11">
      <c r="A65" s="2"/>
      <c r="B65" s="26"/>
      <c r="C65" s="27"/>
      <c r="D65" s="28"/>
      <c r="E65" s="2"/>
      <c r="F65" s="10"/>
      <c r="G65" s="2"/>
      <c r="H65" s="10"/>
      <c r="I65" s="2"/>
      <c r="J65" s="2"/>
      <c r="K65" s="2"/>
    </row>
    <row r="66" ht="28.5" customHeight="1" spans="1:11">
      <c r="A66" s="2"/>
      <c r="B66" s="26"/>
      <c r="C66" s="27"/>
      <c r="D66" s="28"/>
      <c r="E66" s="2"/>
      <c r="F66" s="10"/>
      <c r="G66" s="2"/>
      <c r="H66" s="10"/>
      <c r="I66" s="2"/>
      <c r="J66" s="2"/>
      <c r="K66" s="2"/>
    </row>
    <row r="67" ht="28.5" customHeight="1" spans="1:11">
      <c r="A67" s="2"/>
      <c r="B67" s="26"/>
      <c r="C67" s="27"/>
      <c r="D67" s="28"/>
      <c r="E67" s="2"/>
      <c r="F67" s="10"/>
      <c r="G67" s="2"/>
      <c r="H67" s="10"/>
      <c r="I67" s="2"/>
      <c r="J67" s="2"/>
      <c r="K67" s="2"/>
    </row>
    <row r="68" ht="28.5" customHeight="1" spans="1:11">
      <c r="A68" s="2"/>
      <c r="B68" s="26"/>
      <c r="C68" s="27"/>
      <c r="D68" s="28"/>
      <c r="E68" s="2"/>
      <c r="F68" s="10"/>
      <c r="G68" s="2"/>
      <c r="H68" s="10"/>
      <c r="I68" s="2"/>
      <c r="J68" s="2"/>
      <c r="K68" s="2"/>
    </row>
    <row r="69" ht="28.5" customHeight="1" spans="1:11">
      <c r="A69" s="2"/>
      <c r="B69" s="26"/>
      <c r="C69" s="27"/>
      <c r="D69" s="28"/>
      <c r="E69" s="2"/>
      <c r="F69" s="10"/>
      <c r="G69" s="2"/>
      <c r="H69" s="10"/>
      <c r="I69" s="2"/>
      <c r="J69" s="2"/>
      <c r="K69" s="2"/>
    </row>
    <row r="70" ht="28.5" customHeight="1" spans="1:11">
      <c r="A70" s="2"/>
      <c r="B70" s="26"/>
      <c r="C70" s="27"/>
      <c r="D70" s="28"/>
      <c r="E70" s="2"/>
      <c r="F70" s="10"/>
      <c r="G70" s="2"/>
      <c r="H70" s="10"/>
      <c r="I70" s="2"/>
      <c r="J70" s="2"/>
      <c r="K70" s="2"/>
    </row>
    <row r="71" ht="28.5" customHeight="1" spans="1:11">
      <c r="A71" s="2"/>
      <c r="B71" s="26"/>
      <c r="C71" s="27"/>
      <c r="D71" s="28"/>
      <c r="E71" s="2"/>
      <c r="F71" s="10"/>
      <c r="G71" s="2"/>
      <c r="H71" s="10"/>
      <c r="I71" s="2"/>
      <c r="J71" s="2"/>
      <c r="K71" s="2"/>
    </row>
    <row r="72" ht="28.5" customHeight="1" spans="1:11">
      <c r="A72" s="2"/>
      <c r="B72" s="26"/>
      <c r="C72" s="27"/>
      <c r="D72" s="28"/>
      <c r="E72" s="2"/>
      <c r="F72" s="10"/>
      <c r="G72" s="2"/>
      <c r="H72" s="10"/>
      <c r="I72" s="2"/>
      <c r="J72" s="2"/>
      <c r="K72" s="2"/>
    </row>
    <row r="73" ht="28.5" customHeight="1" spans="1:11">
      <c r="A73" s="2"/>
      <c r="B73" s="26"/>
      <c r="C73" s="27"/>
      <c r="D73" s="28"/>
      <c r="E73" s="2"/>
      <c r="F73" s="10"/>
      <c r="G73" s="2"/>
      <c r="H73" s="10"/>
      <c r="I73" s="2"/>
      <c r="J73" s="2"/>
      <c r="K73" s="2"/>
    </row>
    <row r="74" ht="28.5" customHeight="1" spans="1:11">
      <c r="A74" s="2"/>
      <c r="B74" s="26"/>
      <c r="C74" s="27"/>
      <c r="D74" s="28"/>
      <c r="E74" s="2"/>
      <c r="F74" s="10"/>
      <c r="G74" s="2"/>
      <c r="H74" s="10"/>
      <c r="I74" s="2"/>
      <c r="J74" s="2"/>
      <c r="K74" s="2"/>
    </row>
    <row r="75" ht="28.5" customHeight="1" spans="1:11">
      <c r="A75" s="2"/>
      <c r="B75" s="26"/>
      <c r="C75" s="27"/>
      <c r="D75" s="28"/>
      <c r="E75" s="2"/>
      <c r="F75" s="10"/>
      <c r="G75" s="2"/>
      <c r="H75" s="10"/>
      <c r="I75" s="2"/>
      <c r="J75" s="2"/>
      <c r="K75" s="2"/>
    </row>
    <row r="76" ht="28.5" customHeight="1" spans="1:11">
      <c r="A76" s="2"/>
      <c r="B76" s="26"/>
      <c r="C76" s="27"/>
      <c r="D76" s="28"/>
      <c r="E76" s="2"/>
      <c r="F76" s="10"/>
      <c r="G76" s="2"/>
      <c r="H76" s="10"/>
      <c r="I76" s="2"/>
      <c r="J76" s="2"/>
      <c r="K76" s="2"/>
    </row>
    <row r="77" ht="28.5" customHeight="1" spans="1:11">
      <c r="A77" s="2"/>
      <c r="B77" s="26"/>
      <c r="C77" s="27"/>
      <c r="D77" s="28"/>
      <c r="E77" s="2"/>
      <c r="F77" s="10"/>
      <c r="G77" s="2"/>
      <c r="H77" s="10"/>
      <c r="I77" s="2"/>
      <c r="J77" s="2"/>
      <c r="K77" s="2"/>
    </row>
    <row r="78" ht="28.5" customHeight="1" spans="1:11">
      <c r="A78" s="2"/>
      <c r="B78" s="26"/>
      <c r="C78" s="27"/>
      <c r="D78" s="28"/>
      <c r="E78" s="2"/>
      <c r="F78" s="10"/>
      <c r="G78" s="2"/>
      <c r="H78" s="10"/>
      <c r="I78" s="2"/>
      <c r="J78" s="2"/>
      <c r="K78" s="2"/>
    </row>
    <row r="79" ht="28.5" customHeight="1" spans="1:11">
      <c r="A79" s="2"/>
      <c r="B79" s="26"/>
      <c r="C79" s="27"/>
      <c r="D79" s="28"/>
      <c r="E79" s="2"/>
      <c r="F79" s="10"/>
      <c r="G79" s="2"/>
      <c r="H79" s="10"/>
      <c r="I79" s="2"/>
      <c r="J79" s="2"/>
      <c r="K79" s="2"/>
    </row>
    <row r="80" ht="28.5" customHeight="1" spans="1:11">
      <c r="A80" s="2"/>
      <c r="B80" s="26"/>
      <c r="C80" s="27"/>
      <c r="D80" s="28"/>
      <c r="E80" s="2"/>
      <c r="F80" s="10"/>
      <c r="G80" s="2"/>
      <c r="H80" s="10"/>
      <c r="I80" s="2"/>
      <c r="J80" s="2"/>
      <c r="K80" s="2"/>
    </row>
    <row r="81" ht="28.5" customHeight="1" spans="1:11">
      <c r="A81" s="2"/>
      <c r="B81" s="26"/>
      <c r="C81" s="27"/>
      <c r="D81" s="28"/>
      <c r="E81" s="2"/>
      <c r="F81" s="10"/>
      <c r="G81" s="2"/>
      <c r="H81" s="10"/>
      <c r="I81" s="2"/>
      <c r="J81" s="2"/>
      <c r="K81" s="2"/>
    </row>
    <row r="82" ht="28.5" customHeight="1" spans="1:11">
      <c r="A82" s="2"/>
      <c r="B82" s="26"/>
      <c r="C82" s="27"/>
      <c r="D82" s="28"/>
      <c r="E82" s="2"/>
      <c r="F82" s="10"/>
      <c r="G82" s="2"/>
      <c r="H82" s="10"/>
      <c r="I82" s="2"/>
      <c r="J82" s="2"/>
      <c r="K82" s="2"/>
    </row>
    <row r="83" ht="28.5" customHeight="1" spans="1:11">
      <c r="A83" s="2"/>
      <c r="B83" s="26"/>
      <c r="C83" s="27"/>
      <c r="D83" s="28"/>
      <c r="E83" s="2"/>
      <c r="F83" s="10"/>
      <c r="G83" s="2"/>
      <c r="H83" s="10"/>
      <c r="I83" s="2"/>
      <c r="J83" s="2"/>
      <c r="K83" s="2"/>
    </row>
    <row r="84" ht="28.5" customHeight="1" spans="1:11">
      <c r="A84" s="2"/>
      <c r="B84" s="26"/>
      <c r="C84" s="27"/>
      <c r="D84" s="28"/>
      <c r="E84" s="2"/>
      <c r="F84" s="10"/>
      <c r="G84" s="2"/>
      <c r="H84" s="10"/>
      <c r="I84" s="2"/>
      <c r="J84" s="2"/>
      <c r="K84" s="2"/>
    </row>
    <row r="85" ht="28.5" customHeight="1" spans="1:11">
      <c r="A85" s="2"/>
      <c r="B85" s="26"/>
      <c r="C85" s="27"/>
      <c r="D85" s="28"/>
      <c r="E85" s="2"/>
      <c r="F85" s="10"/>
      <c r="G85" s="2"/>
      <c r="H85" s="10"/>
      <c r="I85" s="2"/>
      <c r="J85" s="2"/>
      <c r="K85" s="2"/>
    </row>
    <row r="86" ht="28.5" customHeight="1" spans="1:11">
      <c r="A86" s="2"/>
      <c r="B86" s="26"/>
      <c r="C86" s="27"/>
      <c r="D86" s="28"/>
      <c r="E86" s="2"/>
      <c r="F86" s="10"/>
      <c r="G86" s="2"/>
      <c r="H86" s="10"/>
      <c r="I86" s="2"/>
      <c r="J86" s="2"/>
      <c r="K86" s="2"/>
    </row>
    <row r="87" ht="28.5" customHeight="1" spans="1:11">
      <c r="A87" s="2"/>
      <c r="B87" s="26"/>
      <c r="C87" s="27"/>
      <c r="D87" s="28"/>
      <c r="E87" s="2"/>
      <c r="F87" s="10"/>
      <c r="G87" s="2"/>
      <c r="H87" s="10"/>
      <c r="I87" s="2"/>
      <c r="J87" s="2"/>
      <c r="K87" s="2"/>
    </row>
    <row r="88" ht="28.5" customHeight="1" spans="1:11">
      <c r="A88" s="2"/>
      <c r="B88" s="26"/>
      <c r="C88" s="27"/>
      <c r="D88" s="28"/>
      <c r="E88" s="2"/>
      <c r="F88" s="10"/>
      <c r="G88" s="2"/>
      <c r="H88" s="10"/>
      <c r="I88" s="2"/>
      <c r="J88" s="2"/>
      <c r="K88" s="2"/>
    </row>
    <row r="89" ht="28.5" customHeight="1" spans="1:11">
      <c r="A89" s="2"/>
      <c r="B89" s="26"/>
      <c r="C89" s="27"/>
      <c r="D89" s="28"/>
      <c r="E89" s="2"/>
      <c r="F89" s="10"/>
      <c r="G89" s="2"/>
      <c r="H89" s="10"/>
      <c r="I89" s="2"/>
      <c r="J89" s="2"/>
      <c r="K89" s="2"/>
    </row>
    <row r="90" ht="28.5" customHeight="1" spans="1:11">
      <c r="A90" s="2"/>
      <c r="B90" s="26"/>
      <c r="C90" s="27"/>
      <c r="D90" s="28"/>
      <c r="E90" s="2"/>
      <c r="F90" s="10"/>
      <c r="G90" s="2"/>
      <c r="H90" s="10"/>
      <c r="I90" s="2"/>
      <c r="J90" s="2"/>
      <c r="K90" s="2"/>
    </row>
    <row r="91" ht="28.5" customHeight="1" spans="1:11">
      <c r="A91" s="2"/>
      <c r="B91" s="26"/>
      <c r="C91" s="27"/>
      <c r="D91" s="28"/>
      <c r="E91" s="2"/>
      <c r="F91" s="10"/>
      <c r="G91" s="2"/>
      <c r="H91" s="10"/>
      <c r="I91" s="2"/>
      <c r="J91" s="2"/>
      <c r="K91" s="2"/>
    </row>
    <row r="92" ht="28.5" customHeight="1" spans="1:11">
      <c r="A92" s="2"/>
      <c r="B92" s="26"/>
      <c r="C92" s="27"/>
      <c r="D92" s="28"/>
      <c r="E92" s="2"/>
      <c r="F92" s="10"/>
      <c r="G92" s="2"/>
      <c r="H92" s="10"/>
      <c r="I92" s="2"/>
      <c r="J92" s="2"/>
      <c r="K92" s="2"/>
    </row>
    <row r="93" ht="28.5" customHeight="1" spans="1:11">
      <c r="A93" s="2"/>
      <c r="B93" s="26"/>
      <c r="C93" s="27"/>
      <c r="D93" s="28"/>
      <c r="E93" s="2"/>
      <c r="F93" s="10"/>
      <c r="G93" s="2"/>
      <c r="H93" s="10"/>
      <c r="I93" s="2"/>
      <c r="J93" s="2"/>
      <c r="K93" s="2"/>
    </row>
    <row r="94" ht="28.5" customHeight="1" spans="1:11">
      <c r="A94" s="2"/>
      <c r="B94" s="26"/>
      <c r="C94" s="27"/>
      <c r="D94" s="28"/>
      <c r="E94" s="2"/>
      <c r="F94" s="10"/>
      <c r="G94" s="2"/>
      <c r="H94" s="10"/>
      <c r="I94" s="2"/>
      <c r="J94" s="2"/>
      <c r="K94" s="2"/>
    </row>
    <row r="95" ht="28.5" customHeight="1" spans="1:11">
      <c r="A95" s="2"/>
      <c r="B95" s="26"/>
      <c r="C95" s="27"/>
      <c r="D95" s="28"/>
      <c r="E95" s="2"/>
      <c r="F95" s="10"/>
      <c r="G95" s="2"/>
      <c r="H95" s="10"/>
      <c r="I95" s="2"/>
      <c r="J95" s="2"/>
      <c r="K95" s="2"/>
    </row>
    <row r="96" ht="28.5" customHeight="1" spans="1:11">
      <c r="A96" s="2"/>
      <c r="B96" s="26"/>
      <c r="C96" s="27"/>
      <c r="D96" s="28"/>
      <c r="E96" s="2"/>
      <c r="F96" s="10"/>
      <c r="G96" s="2"/>
      <c r="H96" s="10"/>
      <c r="I96" s="2"/>
      <c r="J96" s="2"/>
      <c r="K96" s="2"/>
    </row>
    <row r="97" ht="28.5" customHeight="1" spans="1:11">
      <c r="A97" s="2"/>
      <c r="B97" s="26"/>
      <c r="C97" s="27"/>
      <c r="D97" s="28"/>
      <c r="E97" s="2"/>
      <c r="F97" s="10"/>
      <c r="G97" s="2"/>
      <c r="H97" s="10"/>
      <c r="I97" s="2"/>
      <c r="J97" s="2"/>
      <c r="K97" s="2"/>
    </row>
    <row r="98" ht="28.5" customHeight="1" spans="1:11">
      <c r="A98" s="2"/>
      <c r="B98" s="26"/>
      <c r="C98" s="27"/>
      <c r="D98" s="28"/>
      <c r="E98" s="2"/>
      <c r="F98" s="10"/>
      <c r="G98" s="2"/>
      <c r="H98" s="10"/>
      <c r="I98" s="2"/>
      <c r="J98" s="2"/>
      <c r="K98" s="2"/>
    </row>
    <row r="99" ht="28.5" customHeight="1" spans="1:11">
      <c r="A99" s="2"/>
      <c r="B99" s="26"/>
      <c r="C99" s="27"/>
      <c r="D99" s="28"/>
      <c r="E99" s="2"/>
      <c r="F99" s="10"/>
      <c r="G99" s="2"/>
      <c r="H99" s="10"/>
      <c r="I99" s="2"/>
      <c r="J99" s="2"/>
      <c r="K99" s="2"/>
    </row>
    <row r="100" ht="28.5" customHeight="1" spans="1:11">
      <c r="A100" s="2"/>
      <c r="B100" s="26"/>
      <c r="C100" s="27"/>
      <c r="D100" s="28"/>
      <c r="E100" s="2"/>
      <c r="F100" s="10"/>
      <c r="G100" s="2"/>
      <c r="H100" s="10"/>
      <c r="I100" s="2"/>
      <c r="J100" s="2"/>
      <c r="K100" s="2"/>
    </row>
  </sheetData>
  <mergeCells count="2">
    <mergeCell ref="A1:H1"/>
    <mergeCell ref="A2:H2"/>
  </mergeCells>
  <printOptions horizontalCentered="1" gridLines="1"/>
  <pageMargins left="0" right="0" top="0.196850393700787" bottom="0.196850393700787" header="0" footer="0"/>
  <pageSetup paperSize="5" scale="6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workbookViewId="0">
      <selection activeCell="A1" sqref="A1"/>
    </sheetView>
  </sheetViews>
  <sheetFormatPr defaultColWidth="14.4272727272727" defaultRowHeight="15" customHeight="1"/>
  <cols>
    <col min="1" max="7" width="8.57272727272727" customWidth="1"/>
    <col min="8" max="8" width="13.4272727272727" customWidth="1"/>
    <col min="9" max="9" width="12.8545454545455" customWidth="1"/>
    <col min="10" max="11" width="8.57272727272727" customWidth="1"/>
  </cols>
  <sheetData>
    <row r="1" ht="28.5" customHeight="1" spans="1:11">
      <c r="A1" s="6">
        <v>16</v>
      </c>
      <c r="B1" s="7">
        <v>16</v>
      </c>
      <c r="C1" s="14" t="s">
        <v>372</v>
      </c>
      <c r="D1" s="9" t="s">
        <v>154</v>
      </c>
      <c r="E1" s="6">
        <v>6000</v>
      </c>
      <c r="F1" s="15">
        <v>16</v>
      </c>
      <c r="G1" s="9">
        <v>3067</v>
      </c>
      <c r="H1" s="10"/>
      <c r="I1" s="2"/>
      <c r="J1" s="2"/>
      <c r="K1" s="2"/>
    </row>
    <row r="3" ht="28.5" customHeight="1" spans="1:11">
      <c r="A3" s="6">
        <v>37</v>
      </c>
      <c r="B3" s="6">
        <v>20</v>
      </c>
      <c r="C3" s="14" t="s">
        <v>373</v>
      </c>
      <c r="D3" s="9" t="s">
        <v>314</v>
      </c>
      <c r="E3" s="9">
        <v>19000</v>
      </c>
      <c r="F3" s="15">
        <v>31</v>
      </c>
      <c r="G3" s="9">
        <v>18970</v>
      </c>
      <c r="H3" s="200" t="s">
        <v>374</v>
      </c>
      <c r="I3" s="2" t="s">
        <v>375</v>
      </c>
      <c r="J3" s="2"/>
      <c r="K3" s="2"/>
    </row>
    <row r="4" ht="28.5" customHeight="1" spans="1:11">
      <c r="A4" s="6">
        <v>18</v>
      </c>
      <c r="B4" s="6">
        <v>1</v>
      </c>
      <c r="C4" s="14" t="s">
        <v>376</v>
      </c>
      <c r="D4" s="9" t="s">
        <v>213</v>
      </c>
      <c r="E4" s="6">
        <v>13000</v>
      </c>
      <c r="F4" s="15">
        <v>31</v>
      </c>
      <c r="G4" s="9">
        <v>12970</v>
      </c>
      <c r="H4" s="200" t="s">
        <v>377</v>
      </c>
      <c r="I4" s="2" t="s">
        <v>378</v>
      </c>
      <c r="J4" s="2"/>
      <c r="K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Q1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72727272727" defaultRowHeight="15" customHeight="1"/>
  <cols>
    <col min="1" max="1" width="5.57272727272727" customWidth="1"/>
    <col min="2" max="2" width="26.5727272727273" customWidth="1"/>
    <col min="3" max="3" width="18.1363636363636" customWidth="1"/>
    <col min="4" max="4" width="10.8545454545455" customWidth="1"/>
    <col min="5" max="5" width="10.5727272727273" hidden="1" customWidth="1"/>
    <col min="6" max="6" width="9.57272727272727" hidden="1" customWidth="1"/>
    <col min="7" max="7" width="10.5727272727273" hidden="1" customWidth="1"/>
    <col min="8" max="8" width="8.57272727272727" customWidth="1"/>
    <col min="9" max="9" width="10.5727272727273" hidden="1" customWidth="1"/>
    <col min="10" max="10" width="10" hidden="1" customWidth="1"/>
    <col min="11" max="11" width="10.4272727272727" hidden="1" customWidth="1"/>
    <col min="12" max="12" width="8.42727272727273" hidden="1" customWidth="1"/>
    <col min="13" max="13" width="8.57272727272727" hidden="1" customWidth="1"/>
    <col min="14" max="14" width="9.57272727272727" hidden="1" customWidth="1"/>
    <col min="15" max="15" width="13.5727272727273" customWidth="1"/>
    <col min="16" max="16" width="22.1363636363636" customWidth="1"/>
    <col min="17" max="17" width="18.4272727272727" customWidth="1"/>
  </cols>
  <sheetData>
    <row r="1" ht="28.5" customHeight="1" spans="1:17">
      <c r="A1" s="1" t="s">
        <v>317</v>
      </c>
      <c r="Q1" s="2"/>
    </row>
    <row r="2" ht="28.5" customHeight="1" spans="1:17">
      <c r="A2" s="1" t="s">
        <v>318</v>
      </c>
      <c r="Q2" s="2"/>
    </row>
    <row r="3" ht="28.5" customHeight="1" spans="1:17">
      <c r="A3" s="3" t="s">
        <v>319</v>
      </c>
      <c r="B3" s="4" t="s">
        <v>3</v>
      </c>
      <c r="C3" s="3" t="s">
        <v>4</v>
      </c>
      <c r="D3" s="3" t="s">
        <v>5</v>
      </c>
      <c r="E3" s="3" t="s">
        <v>7</v>
      </c>
      <c r="F3" s="3" t="s">
        <v>8</v>
      </c>
      <c r="G3" s="3" t="s">
        <v>9</v>
      </c>
      <c r="H3" s="5" t="s">
        <v>259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27</v>
      </c>
      <c r="P3" s="29" t="s">
        <v>28</v>
      </c>
      <c r="Q3" s="2"/>
    </row>
    <row r="4" ht="24.75" customHeight="1" spans="1:17">
      <c r="A4" s="6"/>
      <c r="B4" s="8" t="s">
        <v>30</v>
      </c>
      <c r="C4" s="9"/>
      <c r="D4" s="6"/>
      <c r="E4" s="6"/>
      <c r="F4" s="6"/>
      <c r="G4" s="6"/>
      <c r="H4" s="10"/>
      <c r="I4" s="6"/>
      <c r="J4" s="6"/>
      <c r="K4" s="6"/>
      <c r="L4" s="6"/>
      <c r="M4" s="6"/>
      <c r="N4" s="6"/>
      <c r="O4" s="6"/>
      <c r="P4" s="30"/>
      <c r="Q4" s="2"/>
    </row>
    <row r="5" ht="24.75" customHeight="1" spans="1:17">
      <c r="A5" s="6"/>
      <c r="B5" s="8" t="s">
        <v>321</v>
      </c>
      <c r="C5" s="12"/>
      <c r="D5" s="13"/>
      <c r="E5" s="13"/>
      <c r="F5" s="13"/>
      <c r="G5" s="13"/>
      <c r="H5" s="5">
        <v>31</v>
      </c>
      <c r="I5" s="13"/>
      <c r="J5" s="13"/>
      <c r="K5" s="13"/>
      <c r="L5" s="13"/>
      <c r="M5" s="13"/>
      <c r="N5" s="13"/>
      <c r="O5" s="12"/>
      <c r="P5" s="30"/>
      <c r="Q5" s="2"/>
    </row>
    <row r="6" ht="24.75" customHeight="1" spans="1:17">
      <c r="A6" s="6" t="e">
        <v>#REF!</v>
      </c>
      <c r="B6" s="14" t="s">
        <v>224</v>
      </c>
      <c r="C6" s="9" t="s">
        <v>225</v>
      </c>
      <c r="D6" s="6">
        <v>7000</v>
      </c>
      <c r="E6" s="6"/>
      <c r="F6" s="6"/>
      <c r="G6" s="6"/>
      <c r="H6" s="15">
        <v>4</v>
      </c>
      <c r="I6" s="6"/>
      <c r="J6" s="6"/>
      <c r="K6" s="6"/>
      <c r="L6" s="6"/>
      <c r="M6" s="6"/>
      <c r="N6" s="6"/>
      <c r="O6" s="6">
        <v>874</v>
      </c>
      <c r="P6" s="201" t="s">
        <v>227</v>
      </c>
      <c r="Q6" s="16" t="s">
        <v>35</v>
      </c>
    </row>
    <row r="7" ht="24.75" customHeight="1" spans="1:17">
      <c r="A7" s="6" t="e">
        <v>#REF!</v>
      </c>
      <c r="B7" s="14" t="s">
        <v>228</v>
      </c>
      <c r="C7" s="9" t="s">
        <v>225</v>
      </c>
      <c r="D7" s="6">
        <v>8000</v>
      </c>
      <c r="E7" s="6"/>
      <c r="F7" s="6"/>
      <c r="G7" s="6"/>
      <c r="H7" s="15">
        <v>17</v>
      </c>
      <c r="I7" s="6"/>
      <c r="J7" s="6"/>
      <c r="K7" s="6"/>
      <c r="L7" s="6"/>
      <c r="M7" s="6"/>
      <c r="N7" s="6"/>
      <c r="O7" s="6">
        <v>4358</v>
      </c>
      <c r="P7" s="201" t="s">
        <v>229</v>
      </c>
      <c r="Q7" s="16" t="s">
        <v>35</v>
      </c>
    </row>
    <row r="8" ht="24.75" customHeight="1" spans="1:17">
      <c r="A8" s="6" t="e">
        <v>#REF!</v>
      </c>
      <c r="B8" s="14" t="s">
        <v>379</v>
      </c>
      <c r="C8" s="9" t="s">
        <v>225</v>
      </c>
      <c r="D8" s="6">
        <v>8000</v>
      </c>
      <c r="E8" s="6"/>
      <c r="F8" s="6"/>
      <c r="G8" s="6"/>
      <c r="H8" s="15">
        <v>18</v>
      </c>
      <c r="I8" s="6"/>
      <c r="J8" s="6"/>
      <c r="K8" s="6"/>
      <c r="L8" s="6"/>
      <c r="M8" s="6"/>
      <c r="N8" s="6"/>
      <c r="O8" s="6">
        <v>4616</v>
      </c>
      <c r="P8" s="201" t="s">
        <v>380</v>
      </c>
      <c r="Q8" s="16" t="s">
        <v>35</v>
      </c>
    </row>
    <row r="9" ht="24.75" customHeight="1" spans="1:17">
      <c r="A9" s="6" t="e">
        <v>#REF!</v>
      </c>
      <c r="B9" s="14" t="s">
        <v>230</v>
      </c>
      <c r="C9" s="9" t="s">
        <v>225</v>
      </c>
      <c r="D9" s="6">
        <v>8000</v>
      </c>
      <c r="E9" s="6"/>
      <c r="F9" s="6"/>
      <c r="G9" s="6"/>
      <c r="H9" s="15">
        <v>17</v>
      </c>
      <c r="I9" s="6"/>
      <c r="J9" s="6"/>
      <c r="K9" s="6"/>
      <c r="L9" s="6"/>
      <c r="M9" s="6"/>
      <c r="N9" s="6"/>
      <c r="O9" s="6">
        <v>4358</v>
      </c>
      <c r="P9" s="201" t="s">
        <v>231</v>
      </c>
      <c r="Q9" s="16" t="s">
        <v>35</v>
      </c>
    </row>
    <row r="10" ht="24.75" customHeight="1" spans="1:17">
      <c r="A10" s="6" t="e">
        <v>#REF!</v>
      </c>
      <c r="B10" s="14" t="s">
        <v>232</v>
      </c>
      <c r="C10" s="9" t="s">
        <v>225</v>
      </c>
      <c r="D10" s="6">
        <v>7000</v>
      </c>
      <c r="E10" s="6"/>
      <c r="F10" s="6"/>
      <c r="G10" s="6"/>
      <c r="H10" s="15">
        <v>6</v>
      </c>
      <c r="I10" s="6"/>
      <c r="J10" s="6"/>
      <c r="K10" s="6"/>
      <c r="L10" s="6"/>
      <c r="M10" s="6"/>
      <c r="N10" s="6"/>
      <c r="O10" s="6">
        <v>1325</v>
      </c>
      <c r="P10" s="201" t="s">
        <v>233</v>
      </c>
      <c r="Q10" s="16" t="s">
        <v>35</v>
      </c>
    </row>
    <row r="11" ht="24.75" customHeight="1" spans="1:17">
      <c r="A11" s="6" t="e">
        <v>#REF!</v>
      </c>
      <c r="B11" s="14" t="s">
        <v>381</v>
      </c>
      <c r="C11" s="9" t="s">
        <v>225</v>
      </c>
      <c r="D11" s="6">
        <v>7000</v>
      </c>
      <c r="E11" s="6"/>
      <c r="F11" s="6"/>
      <c r="G11" s="6"/>
      <c r="H11" s="15">
        <v>6</v>
      </c>
      <c r="I11" s="6"/>
      <c r="J11" s="6"/>
      <c r="K11" s="6"/>
      <c r="L11" s="6"/>
      <c r="M11" s="6"/>
      <c r="N11" s="6"/>
      <c r="O11" s="6">
        <v>1325</v>
      </c>
      <c r="P11" s="201" t="s">
        <v>382</v>
      </c>
      <c r="Q11" s="16" t="s">
        <v>35</v>
      </c>
    </row>
    <row r="12" ht="24.75" customHeight="1" spans="1:17">
      <c r="A12" s="6" t="e">
        <v>#REF!</v>
      </c>
      <c r="B12" s="14" t="s">
        <v>383</v>
      </c>
      <c r="C12" s="9" t="s">
        <v>225</v>
      </c>
      <c r="D12" s="6">
        <v>7000</v>
      </c>
      <c r="E12" s="6"/>
      <c r="F12" s="6"/>
      <c r="G12" s="6"/>
      <c r="H12" s="15">
        <v>5</v>
      </c>
      <c r="I12" s="6"/>
      <c r="J12" s="6"/>
      <c r="K12" s="6"/>
      <c r="L12" s="6"/>
      <c r="M12" s="6"/>
      <c r="N12" s="6"/>
      <c r="O12" s="6">
        <v>1100</v>
      </c>
      <c r="P12" s="32" t="s">
        <v>384</v>
      </c>
      <c r="Q12" s="32" t="s">
        <v>35</v>
      </c>
    </row>
    <row r="13" ht="24.75" customHeight="1" spans="1:17">
      <c r="A13" s="19"/>
      <c r="B13" s="21" t="s">
        <v>140</v>
      </c>
      <c r="C13" s="22"/>
      <c r="D13" s="19">
        <v>52000</v>
      </c>
      <c r="E13" s="19">
        <v>0</v>
      </c>
      <c r="F13" s="19">
        <v>0</v>
      </c>
      <c r="G13" s="19">
        <v>0</v>
      </c>
      <c r="H13" s="19"/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f>SUM(O6:O12)</f>
        <v>17956</v>
      </c>
      <c r="P13" s="19"/>
      <c r="Q13" s="19"/>
    </row>
    <row r="14" ht="28.5" customHeight="1" spans="1:17">
      <c r="A14" s="6"/>
      <c r="B14" s="8"/>
      <c r="C14" s="12"/>
      <c r="D14" s="13"/>
      <c r="E14" s="13"/>
      <c r="F14" s="13"/>
      <c r="G14" s="13"/>
      <c r="H14" s="25"/>
      <c r="I14" s="13"/>
      <c r="J14" s="13"/>
      <c r="K14" s="13"/>
      <c r="L14" s="13"/>
      <c r="M14" s="13"/>
      <c r="N14" s="13"/>
      <c r="O14" s="6"/>
      <c r="P14" s="30"/>
      <c r="Q14" s="2"/>
    </row>
    <row r="15" ht="28.5" customHeight="1" spans="1:17">
      <c r="A15" s="6"/>
      <c r="B15" s="24"/>
      <c r="C15" s="24"/>
      <c r="D15" s="13"/>
      <c r="E15" s="13"/>
      <c r="F15" s="13"/>
      <c r="G15" s="13"/>
      <c r="H15" s="25"/>
      <c r="I15" s="13"/>
      <c r="J15" s="13"/>
      <c r="K15" s="13"/>
      <c r="L15" s="13"/>
      <c r="M15" s="2"/>
      <c r="N15" s="2"/>
      <c r="O15" s="24"/>
      <c r="P15" s="33"/>
      <c r="Q15" s="2"/>
    </row>
    <row r="16" ht="28.5" customHeight="1" spans="1:17">
      <c r="A16" s="2"/>
      <c r="B16" s="27"/>
      <c r="C16" s="28"/>
      <c r="D16" s="2"/>
      <c r="E16" s="2"/>
      <c r="F16" s="2"/>
      <c r="G16" s="2"/>
      <c r="H16" s="10"/>
      <c r="I16" s="2"/>
      <c r="J16" s="2"/>
      <c r="K16" s="2"/>
      <c r="L16" s="2"/>
      <c r="M16" s="2"/>
      <c r="N16" s="2"/>
      <c r="O16" s="2"/>
      <c r="P16" s="30"/>
      <c r="Q16" s="2"/>
    </row>
    <row r="17" ht="28.5" customHeight="1" spans="1:17">
      <c r="A17" s="2"/>
      <c r="B17" s="27"/>
      <c r="C17" s="28"/>
      <c r="D17" s="2"/>
      <c r="E17" s="2"/>
      <c r="F17" s="2"/>
      <c r="G17" s="2"/>
      <c r="H17" s="10"/>
      <c r="I17" s="2"/>
      <c r="J17" s="2"/>
      <c r="K17" s="2"/>
      <c r="L17" s="2"/>
      <c r="M17" s="2"/>
      <c r="N17" s="2"/>
      <c r="O17" s="2"/>
      <c r="P17" s="30"/>
      <c r="Q17" s="2"/>
    </row>
    <row r="18" ht="28.5" customHeight="1" spans="1:17">
      <c r="A18" s="2"/>
      <c r="B18" s="27"/>
      <c r="C18" s="28"/>
      <c r="D18" s="2"/>
      <c r="E18" s="2"/>
      <c r="F18" s="2"/>
      <c r="G18" s="2"/>
      <c r="H18" s="10"/>
      <c r="I18" s="2"/>
      <c r="J18" s="2"/>
      <c r="K18" s="2"/>
      <c r="L18" s="2"/>
      <c r="M18" s="2"/>
      <c r="N18" s="2"/>
      <c r="O18" s="2"/>
      <c r="P18" s="30"/>
      <c r="Q18" s="2"/>
    </row>
    <row r="19" ht="28.5" customHeight="1" spans="1:17">
      <c r="A19" s="2"/>
      <c r="B19" s="27"/>
      <c r="C19" s="28"/>
      <c r="D19" s="2"/>
      <c r="E19" s="2"/>
      <c r="F19" s="2"/>
      <c r="G19" s="2"/>
      <c r="H19" s="10"/>
      <c r="I19" s="2"/>
      <c r="J19" s="2"/>
      <c r="K19" s="2"/>
      <c r="L19" s="2"/>
      <c r="M19" s="2"/>
      <c r="N19" s="2"/>
      <c r="O19" s="2"/>
      <c r="P19" s="30"/>
      <c r="Q19" s="2"/>
    </row>
    <row r="20" ht="28.5" customHeight="1" spans="1:17">
      <c r="A20" s="2"/>
      <c r="B20" s="27"/>
      <c r="C20" s="28"/>
      <c r="D20" s="2"/>
      <c r="E20" s="2"/>
      <c r="F20" s="2"/>
      <c r="G20" s="2"/>
      <c r="H20" s="10"/>
      <c r="I20" s="2"/>
      <c r="J20" s="2"/>
      <c r="K20" s="2"/>
      <c r="L20" s="2"/>
      <c r="M20" s="2"/>
      <c r="N20" s="2"/>
      <c r="O20" s="2"/>
      <c r="P20" s="30"/>
      <c r="Q20" s="2"/>
    </row>
    <row r="21" ht="28.5" customHeight="1" spans="1:17">
      <c r="A21" s="2"/>
      <c r="B21" s="27"/>
      <c r="C21" s="28"/>
      <c r="D21" s="2"/>
      <c r="E21" s="2"/>
      <c r="F21" s="2"/>
      <c r="G21" s="2"/>
      <c r="H21" s="10"/>
      <c r="I21" s="2"/>
      <c r="J21" s="2"/>
      <c r="K21" s="2"/>
      <c r="L21" s="2"/>
      <c r="M21" s="2"/>
      <c r="N21" s="2"/>
      <c r="O21" s="2"/>
      <c r="P21" s="30"/>
      <c r="Q21" s="2"/>
    </row>
    <row r="22" ht="28.5" customHeight="1" spans="1:17">
      <c r="A22" s="2"/>
      <c r="B22" s="27"/>
      <c r="C22" s="28"/>
      <c r="D22" s="2"/>
      <c r="E22" s="2"/>
      <c r="F22" s="2"/>
      <c r="G22" s="2"/>
      <c r="H22" s="10"/>
      <c r="I22" s="2"/>
      <c r="J22" s="2"/>
      <c r="K22" s="2"/>
      <c r="L22" s="2"/>
      <c r="M22" s="2"/>
      <c r="N22" s="2"/>
      <c r="O22" s="2"/>
      <c r="P22" s="30"/>
      <c r="Q22" s="2"/>
    </row>
    <row r="23" ht="28.5" customHeight="1" spans="1:17">
      <c r="A23" s="2"/>
      <c r="B23" s="27"/>
      <c r="C23" s="28"/>
      <c r="D23" s="2"/>
      <c r="E23" s="2"/>
      <c r="F23" s="2"/>
      <c r="G23" s="2"/>
      <c r="H23" s="10"/>
      <c r="I23" s="2"/>
      <c r="J23" s="2"/>
      <c r="K23" s="2"/>
      <c r="L23" s="2"/>
      <c r="M23" s="2"/>
      <c r="N23" s="2"/>
      <c r="O23" s="2"/>
      <c r="P23" s="30"/>
      <c r="Q23" s="2"/>
    </row>
    <row r="24" ht="28.5" customHeight="1" spans="1:17">
      <c r="A24" s="2"/>
      <c r="B24" s="27"/>
      <c r="C24" s="28"/>
      <c r="D24" s="2"/>
      <c r="E24" s="2"/>
      <c r="F24" s="2"/>
      <c r="G24" s="2"/>
      <c r="H24" s="10"/>
      <c r="I24" s="2"/>
      <c r="J24" s="2"/>
      <c r="K24" s="2"/>
      <c r="L24" s="2"/>
      <c r="M24" s="2"/>
      <c r="N24" s="2"/>
      <c r="O24" s="2"/>
      <c r="P24" s="30"/>
      <c r="Q24" s="2"/>
    </row>
    <row r="25" ht="28.5" customHeight="1" spans="1:17">
      <c r="A25" s="2"/>
      <c r="B25" s="27"/>
      <c r="C25" s="28"/>
      <c r="D25" s="2"/>
      <c r="E25" s="2"/>
      <c r="F25" s="2"/>
      <c r="G25" s="2"/>
      <c r="H25" s="10"/>
      <c r="I25" s="2"/>
      <c r="J25" s="2"/>
      <c r="K25" s="2"/>
      <c r="L25" s="2"/>
      <c r="M25" s="2"/>
      <c r="N25" s="2"/>
      <c r="O25" s="2"/>
      <c r="P25" s="30"/>
      <c r="Q25" s="2"/>
    </row>
    <row r="26" ht="28.5" customHeight="1" spans="1:17">
      <c r="A26" s="2"/>
      <c r="B26" s="27"/>
      <c r="C26" s="28"/>
      <c r="D26" s="2"/>
      <c r="E26" s="2"/>
      <c r="F26" s="2"/>
      <c r="G26" s="2"/>
      <c r="H26" s="10"/>
      <c r="I26" s="2"/>
      <c r="J26" s="2"/>
      <c r="K26" s="2"/>
      <c r="L26" s="2"/>
      <c r="M26" s="2"/>
      <c r="N26" s="2"/>
      <c r="O26" s="2"/>
      <c r="P26" s="30"/>
      <c r="Q26" s="2"/>
    </row>
    <row r="27" ht="28.5" customHeight="1" spans="1:17">
      <c r="A27" s="2"/>
      <c r="B27" s="27"/>
      <c r="C27" s="28"/>
      <c r="D27" s="2"/>
      <c r="E27" s="2"/>
      <c r="F27" s="2"/>
      <c r="G27" s="2"/>
      <c r="H27" s="10"/>
      <c r="I27" s="2"/>
      <c r="J27" s="2"/>
      <c r="K27" s="2"/>
      <c r="L27" s="2"/>
      <c r="M27" s="2"/>
      <c r="N27" s="2"/>
      <c r="O27" s="2"/>
      <c r="P27" s="30"/>
      <c r="Q27" s="2"/>
    </row>
    <row r="28" ht="28.5" customHeight="1" spans="1:17">
      <c r="A28" s="2"/>
      <c r="B28" s="27"/>
      <c r="C28" s="28"/>
      <c r="D28" s="2"/>
      <c r="E28" s="2"/>
      <c r="F28" s="2"/>
      <c r="G28" s="2"/>
      <c r="H28" s="10"/>
      <c r="I28" s="2"/>
      <c r="J28" s="2"/>
      <c r="K28" s="2"/>
      <c r="L28" s="2"/>
      <c r="M28" s="2"/>
      <c r="N28" s="2"/>
      <c r="O28" s="2"/>
      <c r="P28" s="30"/>
      <c r="Q28" s="2"/>
    </row>
    <row r="29" ht="28.5" customHeight="1" spans="1:17">
      <c r="A29" s="2"/>
      <c r="B29" s="27"/>
      <c r="C29" s="28"/>
      <c r="D29" s="2"/>
      <c r="E29" s="2"/>
      <c r="F29" s="2"/>
      <c r="G29" s="2"/>
      <c r="H29" s="10"/>
      <c r="I29" s="2"/>
      <c r="J29" s="2"/>
      <c r="K29" s="2"/>
      <c r="L29" s="2"/>
      <c r="M29" s="2"/>
      <c r="N29" s="2"/>
      <c r="O29" s="2"/>
      <c r="P29" s="30"/>
      <c r="Q29" s="2"/>
    </row>
    <row r="30" ht="28.5" customHeight="1" spans="1:17">
      <c r="A30" s="2"/>
      <c r="B30" s="27"/>
      <c r="C30" s="28"/>
      <c r="D30" s="2"/>
      <c r="E30" s="2"/>
      <c r="F30" s="2"/>
      <c r="G30" s="2"/>
      <c r="H30" s="10"/>
      <c r="I30" s="2"/>
      <c r="J30" s="2"/>
      <c r="K30" s="2"/>
      <c r="L30" s="2"/>
      <c r="M30" s="2"/>
      <c r="N30" s="2"/>
      <c r="O30" s="2"/>
      <c r="P30" s="30"/>
      <c r="Q30" s="2"/>
    </row>
    <row r="31" ht="28.5" customHeight="1" spans="1:17">
      <c r="A31" s="2"/>
      <c r="B31" s="27"/>
      <c r="C31" s="28"/>
      <c r="D31" s="2"/>
      <c r="E31" s="2"/>
      <c r="F31" s="2"/>
      <c r="G31" s="2"/>
      <c r="H31" s="10"/>
      <c r="I31" s="2"/>
      <c r="J31" s="2"/>
      <c r="K31" s="2"/>
      <c r="L31" s="2"/>
      <c r="M31" s="2"/>
      <c r="N31" s="2"/>
      <c r="O31" s="2"/>
      <c r="P31" s="30"/>
      <c r="Q31" s="2"/>
    </row>
    <row r="32" ht="28.5" customHeight="1" spans="1:17">
      <c r="A32" s="2"/>
      <c r="B32" s="27"/>
      <c r="C32" s="28"/>
      <c r="D32" s="2"/>
      <c r="E32" s="2"/>
      <c r="F32" s="2"/>
      <c r="G32" s="2"/>
      <c r="H32" s="10"/>
      <c r="I32" s="2"/>
      <c r="J32" s="2"/>
      <c r="K32" s="2"/>
      <c r="L32" s="2"/>
      <c r="M32" s="2"/>
      <c r="N32" s="2"/>
      <c r="O32" s="2"/>
      <c r="P32" s="30"/>
      <c r="Q32" s="2"/>
    </row>
    <row r="33" ht="28.5" customHeight="1" spans="1:17">
      <c r="A33" s="2"/>
      <c r="B33" s="27"/>
      <c r="C33" s="28"/>
      <c r="D33" s="2"/>
      <c r="E33" s="2"/>
      <c r="F33" s="2"/>
      <c r="G33" s="2"/>
      <c r="H33" s="10"/>
      <c r="I33" s="2"/>
      <c r="J33" s="2"/>
      <c r="K33" s="2"/>
      <c r="L33" s="2"/>
      <c r="M33" s="2"/>
      <c r="N33" s="2"/>
      <c r="O33" s="2"/>
      <c r="P33" s="30"/>
      <c r="Q33" s="2"/>
    </row>
    <row r="34" ht="28.5" customHeight="1" spans="1:17">
      <c r="A34" s="2"/>
      <c r="B34" s="27"/>
      <c r="C34" s="28"/>
      <c r="D34" s="2"/>
      <c r="E34" s="2"/>
      <c r="F34" s="2"/>
      <c r="G34" s="2"/>
      <c r="H34" s="10"/>
      <c r="I34" s="2"/>
      <c r="J34" s="2"/>
      <c r="K34" s="2"/>
      <c r="L34" s="2"/>
      <c r="M34" s="2"/>
      <c r="N34" s="2"/>
      <c r="O34" s="2"/>
      <c r="P34" s="30"/>
      <c r="Q34" s="2"/>
    </row>
    <row r="35" ht="28.5" customHeight="1" spans="1:17">
      <c r="A35" s="2"/>
      <c r="B35" s="27"/>
      <c r="C35" s="28"/>
      <c r="D35" s="2"/>
      <c r="E35" s="2"/>
      <c r="F35" s="2"/>
      <c r="G35" s="2"/>
      <c r="H35" s="10"/>
      <c r="I35" s="2"/>
      <c r="J35" s="2"/>
      <c r="K35" s="2"/>
      <c r="L35" s="2"/>
      <c r="M35" s="2"/>
      <c r="N35" s="2"/>
      <c r="O35" s="2"/>
      <c r="P35" s="30"/>
      <c r="Q35" s="2"/>
    </row>
    <row r="36" ht="28.5" customHeight="1" spans="1:17">
      <c r="A36" s="2"/>
      <c r="B36" s="27"/>
      <c r="C36" s="28"/>
      <c r="D36" s="2"/>
      <c r="E36" s="2"/>
      <c r="F36" s="2"/>
      <c r="G36" s="2"/>
      <c r="H36" s="10"/>
      <c r="I36" s="2"/>
      <c r="J36" s="2"/>
      <c r="K36" s="2"/>
      <c r="L36" s="2"/>
      <c r="M36" s="2"/>
      <c r="N36" s="2"/>
      <c r="O36" s="2"/>
      <c r="P36" s="30"/>
      <c r="Q36" s="2"/>
    </row>
    <row r="37" ht="28.5" customHeight="1" spans="1:17">
      <c r="A37" s="2"/>
      <c r="B37" s="27"/>
      <c r="C37" s="28"/>
      <c r="D37" s="2"/>
      <c r="E37" s="2"/>
      <c r="F37" s="2"/>
      <c r="G37" s="2"/>
      <c r="H37" s="10"/>
      <c r="I37" s="2"/>
      <c r="J37" s="2"/>
      <c r="K37" s="2"/>
      <c r="L37" s="2"/>
      <c r="M37" s="2"/>
      <c r="N37" s="2"/>
      <c r="O37" s="2"/>
      <c r="P37" s="30"/>
      <c r="Q37" s="2"/>
    </row>
    <row r="38" ht="28.5" customHeight="1" spans="1:17">
      <c r="A38" s="2"/>
      <c r="B38" s="27"/>
      <c r="C38" s="28"/>
      <c r="D38" s="2"/>
      <c r="E38" s="2"/>
      <c r="F38" s="2"/>
      <c r="G38" s="2"/>
      <c r="H38" s="10"/>
      <c r="I38" s="2"/>
      <c r="J38" s="2"/>
      <c r="K38" s="2"/>
      <c r="L38" s="2"/>
      <c r="M38" s="2"/>
      <c r="N38" s="2"/>
      <c r="O38" s="2"/>
      <c r="P38" s="30"/>
      <c r="Q38" s="2"/>
    </row>
    <row r="39" ht="28.5" customHeight="1" spans="1:17">
      <c r="A39" s="2"/>
      <c r="B39" s="27"/>
      <c r="C39" s="28"/>
      <c r="D39" s="2"/>
      <c r="E39" s="2"/>
      <c r="F39" s="2"/>
      <c r="G39" s="2"/>
      <c r="H39" s="10"/>
      <c r="I39" s="2"/>
      <c r="J39" s="2"/>
      <c r="K39" s="2"/>
      <c r="L39" s="2"/>
      <c r="M39" s="2"/>
      <c r="N39" s="2"/>
      <c r="O39" s="2"/>
      <c r="P39" s="30"/>
      <c r="Q39" s="2"/>
    </row>
    <row r="40" ht="28.5" customHeight="1" spans="1:17">
      <c r="A40" s="2"/>
      <c r="B40" s="27"/>
      <c r="C40" s="28"/>
      <c r="D40" s="2"/>
      <c r="E40" s="2"/>
      <c r="F40" s="2"/>
      <c r="G40" s="2"/>
      <c r="H40" s="10"/>
      <c r="I40" s="2"/>
      <c r="J40" s="2"/>
      <c r="K40" s="2"/>
      <c r="L40" s="2"/>
      <c r="M40" s="2"/>
      <c r="N40" s="2"/>
      <c r="O40" s="2"/>
      <c r="P40" s="30"/>
      <c r="Q40" s="2"/>
    </row>
    <row r="41" ht="28.5" customHeight="1" spans="1:17">
      <c r="A41" s="2"/>
      <c r="B41" s="27"/>
      <c r="C41" s="28"/>
      <c r="D41" s="2"/>
      <c r="E41" s="2"/>
      <c r="F41" s="2"/>
      <c r="G41" s="2"/>
      <c r="H41" s="10"/>
      <c r="I41" s="2"/>
      <c r="J41" s="2"/>
      <c r="K41" s="2"/>
      <c r="L41" s="2"/>
      <c r="M41" s="2"/>
      <c r="N41" s="2"/>
      <c r="O41" s="2"/>
      <c r="P41" s="30"/>
      <c r="Q41" s="2"/>
    </row>
    <row r="42" ht="28.5" customHeight="1" spans="1:17">
      <c r="A42" s="2"/>
      <c r="B42" s="27"/>
      <c r="C42" s="28"/>
      <c r="D42" s="2"/>
      <c r="E42" s="2"/>
      <c r="F42" s="2"/>
      <c r="G42" s="2"/>
      <c r="H42" s="10"/>
      <c r="I42" s="2"/>
      <c r="J42" s="2"/>
      <c r="K42" s="2"/>
      <c r="L42" s="2"/>
      <c r="M42" s="2"/>
      <c r="N42" s="2"/>
      <c r="O42" s="2"/>
      <c r="P42" s="30"/>
      <c r="Q42" s="2"/>
    </row>
    <row r="43" ht="28.5" customHeight="1" spans="1:17">
      <c r="A43" s="2"/>
      <c r="B43" s="27"/>
      <c r="C43" s="28"/>
      <c r="D43" s="2"/>
      <c r="E43" s="2"/>
      <c r="F43" s="2"/>
      <c r="G43" s="2"/>
      <c r="H43" s="10"/>
      <c r="I43" s="2"/>
      <c r="J43" s="2"/>
      <c r="K43" s="2"/>
      <c r="L43" s="2"/>
      <c r="M43" s="2"/>
      <c r="N43" s="2"/>
      <c r="O43" s="2"/>
      <c r="P43" s="30"/>
      <c r="Q43" s="2"/>
    </row>
    <row r="44" ht="28.5" customHeight="1" spans="1:17">
      <c r="A44" s="2"/>
      <c r="B44" s="27"/>
      <c r="C44" s="28"/>
      <c r="D44" s="2"/>
      <c r="E44" s="2"/>
      <c r="F44" s="2"/>
      <c r="G44" s="2"/>
      <c r="H44" s="10"/>
      <c r="I44" s="2"/>
      <c r="J44" s="2"/>
      <c r="K44" s="2"/>
      <c r="L44" s="2"/>
      <c r="M44" s="2"/>
      <c r="N44" s="2"/>
      <c r="O44" s="2"/>
      <c r="P44" s="30"/>
      <c r="Q44" s="2"/>
    </row>
    <row r="45" ht="28.5" customHeight="1" spans="1:17">
      <c r="A45" s="2"/>
      <c r="B45" s="27"/>
      <c r="C45" s="28"/>
      <c r="D45" s="2"/>
      <c r="E45" s="2"/>
      <c r="F45" s="2"/>
      <c r="G45" s="2"/>
      <c r="H45" s="10"/>
      <c r="I45" s="2"/>
      <c r="J45" s="2"/>
      <c r="K45" s="2"/>
      <c r="L45" s="2"/>
      <c r="M45" s="2"/>
      <c r="N45" s="2"/>
      <c r="O45" s="2"/>
      <c r="P45" s="30"/>
      <c r="Q45" s="2"/>
    </row>
    <row r="46" ht="28.5" customHeight="1" spans="1:17">
      <c r="A46" s="2"/>
      <c r="B46" s="27"/>
      <c r="C46" s="28"/>
      <c r="D46" s="2"/>
      <c r="E46" s="2"/>
      <c r="F46" s="2"/>
      <c r="G46" s="2"/>
      <c r="H46" s="10"/>
      <c r="I46" s="2"/>
      <c r="J46" s="2"/>
      <c r="K46" s="2"/>
      <c r="L46" s="2"/>
      <c r="M46" s="2"/>
      <c r="N46" s="2"/>
      <c r="O46" s="2"/>
      <c r="P46" s="30"/>
      <c r="Q46" s="2"/>
    </row>
    <row r="47" ht="28.5" customHeight="1" spans="1:17">
      <c r="A47" s="2"/>
      <c r="B47" s="27"/>
      <c r="C47" s="28"/>
      <c r="D47" s="2"/>
      <c r="E47" s="2"/>
      <c r="F47" s="2"/>
      <c r="G47" s="2"/>
      <c r="H47" s="10"/>
      <c r="I47" s="2"/>
      <c r="J47" s="2"/>
      <c r="K47" s="2"/>
      <c r="L47" s="2"/>
      <c r="M47" s="2"/>
      <c r="N47" s="2"/>
      <c r="O47" s="2"/>
      <c r="P47" s="30"/>
      <c r="Q47" s="2"/>
    </row>
    <row r="48" ht="28.5" customHeight="1" spans="1:17">
      <c r="A48" s="2"/>
      <c r="B48" s="27"/>
      <c r="C48" s="28"/>
      <c r="D48" s="2"/>
      <c r="E48" s="2"/>
      <c r="F48" s="2"/>
      <c r="G48" s="2"/>
      <c r="H48" s="10"/>
      <c r="I48" s="2"/>
      <c r="J48" s="2"/>
      <c r="K48" s="2"/>
      <c r="L48" s="2"/>
      <c r="M48" s="2"/>
      <c r="N48" s="2"/>
      <c r="O48" s="2"/>
      <c r="P48" s="30"/>
      <c r="Q48" s="2"/>
    </row>
    <row r="49" ht="28.5" customHeight="1" spans="1:17">
      <c r="A49" s="2"/>
      <c r="B49" s="27"/>
      <c r="C49" s="28"/>
      <c r="D49" s="2"/>
      <c r="E49" s="2"/>
      <c r="F49" s="2"/>
      <c r="G49" s="2"/>
      <c r="H49" s="10"/>
      <c r="I49" s="2"/>
      <c r="J49" s="2"/>
      <c r="K49" s="2"/>
      <c r="L49" s="2"/>
      <c r="M49" s="2"/>
      <c r="N49" s="2"/>
      <c r="O49" s="2"/>
      <c r="P49" s="30"/>
      <c r="Q49" s="2"/>
    </row>
    <row r="50" ht="28.5" customHeight="1" spans="1:17">
      <c r="A50" s="2"/>
      <c r="B50" s="27"/>
      <c r="C50" s="28"/>
      <c r="D50" s="2"/>
      <c r="E50" s="2"/>
      <c r="F50" s="2"/>
      <c r="G50" s="2"/>
      <c r="H50" s="10"/>
      <c r="I50" s="2"/>
      <c r="J50" s="2"/>
      <c r="K50" s="2"/>
      <c r="L50" s="2"/>
      <c r="M50" s="2"/>
      <c r="N50" s="2"/>
      <c r="O50" s="2"/>
      <c r="P50" s="30"/>
      <c r="Q50" s="2"/>
    </row>
    <row r="51" ht="28.5" customHeight="1" spans="1:17">
      <c r="A51" s="2"/>
      <c r="B51" s="27"/>
      <c r="C51" s="28"/>
      <c r="D51" s="2"/>
      <c r="E51" s="2"/>
      <c r="F51" s="2"/>
      <c r="G51" s="2"/>
      <c r="H51" s="10"/>
      <c r="I51" s="2"/>
      <c r="J51" s="2"/>
      <c r="K51" s="2"/>
      <c r="L51" s="2"/>
      <c r="M51" s="2"/>
      <c r="N51" s="2"/>
      <c r="O51" s="2"/>
      <c r="P51" s="30"/>
      <c r="Q51" s="2"/>
    </row>
    <row r="52" ht="28.5" customHeight="1" spans="1:17">
      <c r="A52" s="2"/>
      <c r="B52" s="27"/>
      <c r="C52" s="28"/>
      <c r="D52" s="2"/>
      <c r="E52" s="2"/>
      <c r="F52" s="2"/>
      <c r="G52" s="2"/>
      <c r="H52" s="10"/>
      <c r="I52" s="2"/>
      <c r="J52" s="2"/>
      <c r="K52" s="2"/>
      <c r="L52" s="2"/>
      <c r="M52" s="2"/>
      <c r="N52" s="2"/>
      <c r="O52" s="2"/>
      <c r="P52" s="30"/>
      <c r="Q52" s="2"/>
    </row>
    <row r="53" ht="28.5" customHeight="1" spans="1:17">
      <c r="A53" s="2"/>
      <c r="B53" s="27"/>
      <c r="C53" s="28"/>
      <c r="D53" s="2"/>
      <c r="E53" s="2"/>
      <c r="F53" s="2"/>
      <c r="G53" s="2"/>
      <c r="H53" s="10"/>
      <c r="I53" s="2"/>
      <c r="J53" s="2"/>
      <c r="K53" s="2"/>
      <c r="L53" s="2"/>
      <c r="M53" s="2"/>
      <c r="N53" s="2"/>
      <c r="O53" s="2"/>
      <c r="P53" s="30"/>
      <c r="Q53" s="2"/>
    </row>
    <row r="54" ht="28.5" customHeight="1" spans="1:17">
      <c r="A54" s="2"/>
      <c r="B54" s="27"/>
      <c r="C54" s="28"/>
      <c r="D54" s="2"/>
      <c r="E54" s="2"/>
      <c r="F54" s="2"/>
      <c r="G54" s="2"/>
      <c r="H54" s="10"/>
      <c r="I54" s="2"/>
      <c r="J54" s="2"/>
      <c r="K54" s="2"/>
      <c r="L54" s="2"/>
      <c r="M54" s="2"/>
      <c r="N54" s="2"/>
      <c r="O54" s="2"/>
      <c r="P54" s="30"/>
      <c r="Q54" s="2"/>
    </row>
    <row r="55" ht="28.5" customHeight="1" spans="1:17">
      <c r="A55" s="2"/>
      <c r="B55" s="27"/>
      <c r="C55" s="28"/>
      <c r="D55" s="2"/>
      <c r="E55" s="2"/>
      <c r="F55" s="2"/>
      <c r="G55" s="2"/>
      <c r="H55" s="10"/>
      <c r="I55" s="2"/>
      <c r="J55" s="2"/>
      <c r="K55" s="2"/>
      <c r="L55" s="2"/>
      <c r="M55" s="2"/>
      <c r="N55" s="2"/>
      <c r="O55" s="2"/>
      <c r="P55" s="30"/>
      <c r="Q55" s="2"/>
    </row>
    <row r="56" ht="28.5" customHeight="1" spans="1:17">
      <c r="A56" s="2"/>
      <c r="B56" s="27"/>
      <c r="C56" s="28"/>
      <c r="D56" s="2"/>
      <c r="E56" s="2"/>
      <c r="F56" s="2"/>
      <c r="G56" s="2"/>
      <c r="H56" s="10"/>
      <c r="I56" s="2"/>
      <c r="J56" s="2"/>
      <c r="K56" s="2"/>
      <c r="L56" s="2"/>
      <c r="M56" s="2"/>
      <c r="N56" s="2"/>
      <c r="O56" s="2"/>
      <c r="P56" s="30"/>
      <c r="Q56" s="2"/>
    </row>
    <row r="57" ht="28.5" customHeight="1" spans="1:17">
      <c r="A57" s="2"/>
      <c r="B57" s="27"/>
      <c r="C57" s="28"/>
      <c r="D57" s="2"/>
      <c r="E57" s="2"/>
      <c r="F57" s="2"/>
      <c r="G57" s="2"/>
      <c r="H57" s="10"/>
      <c r="I57" s="2"/>
      <c r="J57" s="2"/>
      <c r="K57" s="2"/>
      <c r="L57" s="2"/>
      <c r="M57" s="2"/>
      <c r="N57" s="2"/>
      <c r="O57" s="2"/>
      <c r="P57" s="30"/>
      <c r="Q57" s="2"/>
    </row>
    <row r="58" ht="28.5" customHeight="1" spans="1:17">
      <c r="A58" s="2"/>
      <c r="B58" s="27"/>
      <c r="C58" s="28"/>
      <c r="D58" s="2"/>
      <c r="E58" s="2"/>
      <c r="F58" s="2"/>
      <c r="G58" s="2"/>
      <c r="H58" s="10"/>
      <c r="I58" s="2"/>
      <c r="J58" s="2"/>
      <c r="K58" s="2"/>
      <c r="L58" s="2"/>
      <c r="M58" s="2"/>
      <c r="N58" s="2"/>
      <c r="O58" s="2"/>
      <c r="P58" s="30"/>
      <c r="Q58" s="2"/>
    </row>
    <row r="59" ht="28.5" customHeight="1" spans="1:17">
      <c r="A59" s="2"/>
      <c r="B59" s="27"/>
      <c r="C59" s="28"/>
      <c r="D59" s="2"/>
      <c r="E59" s="2"/>
      <c r="F59" s="2"/>
      <c r="G59" s="2"/>
      <c r="H59" s="10"/>
      <c r="I59" s="2"/>
      <c r="J59" s="2"/>
      <c r="K59" s="2"/>
      <c r="L59" s="2"/>
      <c r="M59" s="2"/>
      <c r="N59" s="2"/>
      <c r="O59" s="2"/>
      <c r="P59" s="30"/>
      <c r="Q59" s="2"/>
    </row>
    <row r="60" ht="28.5" customHeight="1" spans="1:17">
      <c r="A60" s="2"/>
      <c r="B60" s="27"/>
      <c r="C60" s="28"/>
      <c r="D60" s="2"/>
      <c r="E60" s="2"/>
      <c r="F60" s="2"/>
      <c r="G60" s="2"/>
      <c r="H60" s="10"/>
      <c r="I60" s="2"/>
      <c r="J60" s="2"/>
      <c r="K60" s="2"/>
      <c r="L60" s="2"/>
      <c r="M60" s="2"/>
      <c r="N60" s="2"/>
      <c r="O60" s="2"/>
      <c r="P60" s="30"/>
      <c r="Q60" s="2"/>
    </row>
    <row r="61" ht="28.5" customHeight="1" spans="1:17">
      <c r="A61" s="2"/>
      <c r="B61" s="27"/>
      <c r="C61" s="28"/>
      <c r="D61" s="2"/>
      <c r="E61" s="2"/>
      <c r="F61" s="2"/>
      <c r="G61" s="2"/>
      <c r="H61" s="10"/>
      <c r="I61" s="2"/>
      <c r="J61" s="2"/>
      <c r="K61" s="2"/>
      <c r="L61" s="2"/>
      <c r="M61" s="2"/>
      <c r="N61" s="2"/>
      <c r="O61" s="2"/>
      <c r="P61" s="30"/>
      <c r="Q61" s="2"/>
    </row>
    <row r="62" ht="28.5" customHeight="1" spans="1:17">
      <c r="A62" s="2"/>
      <c r="B62" s="27"/>
      <c r="C62" s="28"/>
      <c r="D62" s="2"/>
      <c r="E62" s="2"/>
      <c r="F62" s="2"/>
      <c r="G62" s="2"/>
      <c r="H62" s="10"/>
      <c r="I62" s="2"/>
      <c r="J62" s="2"/>
      <c r="K62" s="2"/>
      <c r="L62" s="2"/>
      <c r="M62" s="2"/>
      <c r="N62" s="2"/>
      <c r="O62" s="2"/>
      <c r="P62" s="30"/>
      <c r="Q62" s="2"/>
    </row>
    <row r="63" ht="28.5" customHeight="1" spans="1:17">
      <c r="A63" s="2"/>
      <c r="B63" s="27"/>
      <c r="C63" s="28"/>
      <c r="D63" s="2"/>
      <c r="E63" s="2"/>
      <c r="F63" s="2"/>
      <c r="G63" s="2"/>
      <c r="H63" s="10"/>
      <c r="I63" s="2"/>
      <c r="J63" s="2"/>
      <c r="K63" s="2"/>
      <c r="L63" s="2"/>
      <c r="M63" s="2"/>
      <c r="N63" s="2"/>
      <c r="O63" s="2"/>
      <c r="P63" s="30"/>
      <c r="Q63" s="2"/>
    </row>
    <row r="64" ht="28.5" customHeight="1" spans="1:17">
      <c r="A64" s="2"/>
      <c r="B64" s="27"/>
      <c r="C64" s="28"/>
      <c r="D64" s="2"/>
      <c r="E64" s="2"/>
      <c r="F64" s="2"/>
      <c r="G64" s="2"/>
      <c r="H64" s="10"/>
      <c r="I64" s="2"/>
      <c r="J64" s="2"/>
      <c r="K64" s="2"/>
      <c r="L64" s="2"/>
      <c r="M64" s="2"/>
      <c r="N64" s="2"/>
      <c r="O64" s="2"/>
      <c r="P64" s="30"/>
      <c r="Q64" s="2"/>
    </row>
    <row r="65" ht="28.5" customHeight="1" spans="1:17">
      <c r="A65" s="2"/>
      <c r="B65" s="27"/>
      <c r="C65" s="28"/>
      <c r="D65" s="2"/>
      <c r="E65" s="2"/>
      <c r="F65" s="2"/>
      <c r="G65" s="2"/>
      <c r="H65" s="10"/>
      <c r="I65" s="2"/>
      <c r="J65" s="2"/>
      <c r="K65" s="2"/>
      <c r="L65" s="2"/>
      <c r="M65" s="2"/>
      <c r="N65" s="2"/>
      <c r="O65" s="2"/>
      <c r="P65" s="30"/>
      <c r="Q65" s="2"/>
    </row>
    <row r="66" ht="28.5" customHeight="1" spans="1:17">
      <c r="A66" s="2"/>
      <c r="B66" s="27"/>
      <c r="C66" s="28"/>
      <c r="D66" s="2"/>
      <c r="E66" s="2"/>
      <c r="F66" s="2"/>
      <c r="G66" s="2"/>
      <c r="H66" s="10"/>
      <c r="I66" s="2"/>
      <c r="J66" s="2"/>
      <c r="K66" s="2"/>
      <c r="L66" s="2"/>
      <c r="M66" s="2"/>
      <c r="N66" s="2"/>
      <c r="O66" s="2"/>
      <c r="P66" s="30"/>
      <c r="Q66" s="2"/>
    </row>
    <row r="67" ht="28.5" customHeight="1" spans="1:17">
      <c r="A67" s="2"/>
      <c r="B67" s="27"/>
      <c r="C67" s="28"/>
      <c r="D67" s="2"/>
      <c r="E67" s="2"/>
      <c r="F67" s="2"/>
      <c r="G67" s="2"/>
      <c r="H67" s="10"/>
      <c r="I67" s="2"/>
      <c r="J67" s="2"/>
      <c r="K67" s="2"/>
      <c r="L67" s="2"/>
      <c r="M67" s="2"/>
      <c r="N67" s="2"/>
      <c r="O67" s="2"/>
      <c r="P67" s="30"/>
      <c r="Q67" s="2"/>
    </row>
    <row r="68" ht="28.5" customHeight="1" spans="1:17">
      <c r="A68" s="2"/>
      <c r="B68" s="27"/>
      <c r="C68" s="28"/>
      <c r="D68" s="2"/>
      <c r="E68" s="2"/>
      <c r="F68" s="2"/>
      <c r="G68" s="2"/>
      <c r="H68" s="10"/>
      <c r="I68" s="2"/>
      <c r="J68" s="2"/>
      <c r="K68" s="2"/>
      <c r="L68" s="2"/>
      <c r="M68" s="2"/>
      <c r="N68" s="2"/>
      <c r="O68" s="2"/>
      <c r="P68" s="30"/>
      <c r="Q68" s="2"/>
    </row>
    <row r="69" ht="28.5" customHeight="1" spans="1:17">
      <c r="A69" s="2"/>
      <c r="B69" s="27"/>
      <c r="C69" s="28"/>
      <c r="D69" s="2"/>
      <c r="E69" s="2"/>
      <c r="F69" s="2"/>
      <c r="G69" s="2"/>
      <c r="H69" s="10"/>
      <c r="I69" s="2"/>
      <c r="J69" s="2"/>
      <c r="K69" s="2"/>
      <c r="L69" s="2"/>
      <c r="M69" s="2"/>
      <c r="N69" s="2"/>
      <c r="O69" s="2"/>
      <c r="P69" s="30"/>
      <c r="Q69" s="2"/>
    </row>
    <row r="70" ht="28.5" customHeight="1" spans="1:17">
      <c r="A70" s="2"/>
      <c r="B70" s="27"/>
      <c r="C70" s="28"/>
      <c r="D70" s="2"/>
      <c r="E70" s="2"/>
      <c r="F70" s="2"/>
      <c r="G70" s="2"/>
      <c r="H70" s="10"/>
      <c r="I70" s="2"/>
      <c r="J70" s="2"/>
      <c r="K70" s="2"/>
      <c r="L70" s="2"/>
      <c r="M70" s="2"/>
      <c r="N70" s="2"/>
      <c r="O70" s="2"/>
      <c r="P70" s="30"/>
      <c r="Q70" s="2"/>
    </row>
    <row r="71" ht="28.5" customHeight="1" spans="1:17">
      <c r="A71" s="2"/>
      <c r="B71" s="27"/>
      <c r="C71" s="28"/>
      <c r="D71" s="2"/>
      <c r="E71" s="2"/>
      <c r="F71" s="2"/>
      <c r="G71" s="2"/>
      <c r="H71" s="10"/>
      <c r="I71" s="2"/>
      <c r="J71" s="2"/>
      <c r="K71" s="2"/>
      <c r="L71" s="2"/>
      <c r="M71" s="2"/>
      <c r="N71" s="2"/>
      <c r="O71" s="2"/>
      <c r="P71" s="30"/>
      <c r="Q71" s="2"/>
    </row>
    <row r="72" ht="28.5" customHeight="1" spans="1:17">
      <c r="A72" s="2"/>
      <c r="B72" s="27"/>
      <c r="C72" s="28"/>
      <c r="D72" s="2"/>
      <c r="E72" s="2"/>
      <c r="F72" s="2"/>
      <c r="G72" s="2"/>
      <c r="H72" s="10"/>
      <c r="I72" s="2"/>
      <c r="J72" s="2"/>
      <c r="K72" s="2"/>
      <c r="L72" s="2"/>
      <c r="M72" s="2"/>
      <c r="N72" s="2"/>
      <c r="O72" s="2"/>
      <c r="P72" s="30"/>
      <c r="Q72" s="2"/>
    </row>
    <row r="73" ht="28.5" customHeight="1" spans="1:17">
      <c r="A73" s="2"/>
      <c r="B73" s="27"/>
      <c r="C73" s="28"/>
      <c r="D73" s="2"/>
      <c r="E73" s="2"/>
      <c r="F73" s="2"/>
      <c r="G73" s="2"/>
      <c r="H73" s="10"/>
      <c r="I73" s="2"/>
      <c r="J73" s="2"/>
      <c r="K73" s="2"/>
      <c r="L73" s="2"/>
      <c r="M73" s="2"/>
      <c r="N73" s="2"/>
      <c r="O73" s="2"/>
      <c r="P73" s="30"/>
      <c r="Q73" s="2"/>
    </row>
    <row r="74" ht="28.5" customHeight="1" spans="1:17">
      <c r="A74" s="2"/>
      <c r="B74" s="27"/>
      <c r="C74" s="28"/>
      <c r="D74" s="2"/>
      <c r="E74" s="2"/>
      <c r="F74" s="2"/>
      <c r="G74" s="2"/>
      <c r="H74" s="10"/>
      <c r="I74" s="2"/>
      <c r="J74" s="2"/>
      <c r="K74" s="2"/>
      <c r="L74" s="2"/>
      <c r="M74" s="2"/>
      <c r="N74" s="2"/>
      <c r="O74" s="2"/>
      <c r="P74" s="30"/>
      <c r="Q74" s="2"/>
    </row>
    <row r="75" ht="28.5" customHeight="1" spans="1:17">
      <c r="A75" s="2"/>
      <c r="B75" s="27"/>
      <c r="C75" s="28"/>
      <c r="D75" s="2"/>
      <c r="E75" s="2"/>
      <c r="F75" s="2"/>
      <c r="G75" s="2"/>
      <c r="H75" s="10"/>
      <c r="I75" s="2"/>
      <c r="J75" s="2"/>
      <c r="K75" s="2"/>
      <c r="L75" s="2"/>
      <c r="M75" s="2"/>
      <c r="N75" s="2"/>
      <c r="O75" s="2"/>
      <c r="P75" s="30"/>
      <c r="Q75" s="2"/>
    </row>
    <row r="76" ht="28.5" customHeight="1" spans="1:17">
      <c r="A76" s="2"/>
      <c r="B76" s="27"/>
      <c r="C76" s="28"/>
      <c r="D76" s="2"/>
      <c r="E76" s="2"/>
      <c r="F76" s="2"/>
      <c r="G76" s="2"/>
      <c r="H76" s="10"/>
      <c r="I76" s="2"/>
      <c r="J76" s="2"/>
      <c r="K76" s="2"/>
      <c r="L76" s="2"/>
      <c r="M76" s="2"/>
      <c r="N76" s="2"/>
      <c r="O76" s="2"/>
      <c r="P76" s="30"/>
      <c r="Q76" s="2"/>
    </row>
    <row r="77" ht="28.5" customHeight="1" spans="1:17">
      <c r="A77" s="2"/>
      <c r="B77" s="27"/>
      <c r="C77" s="28"/>
      <c r="D77" s="2"/>
      <c r="E77" s="2"/>
      <c r="F77" s="2"/>
      <c r="G77" s="2"/>
      <c r="H77" s="10"/>
      <c r="I77" s="2"/>
      <c r="J77" s="2"/>
      <c r="K77" s="2"/>
      <c r="L77" s="2"/>
      <c r="M77" s="2"/>
      <c r="N77" s="2"/>
      <c r="O77" s="2"/>
      <c r="P77" s="30"/>
      <c r="Q77" s="2"/>
    </row>
    <row r="78" ht="28.5" customHeight="1" spans="1:17">
      <c r="A78" s="2"/>
      <c r="B78" s="27"/>
      <c r="C78" s="28"/>
      <c r="D78" s="2"/>
      <c r="E78" s="2"/>
      <c r="F78" s="2"/>
      <c r="G78" s="2"/>
      <c r="H78" s="10"/>
      <c r="I78" s="2"/>
      <c r="J78" s="2"/>
      <c r="K78" s="2"/>
      <c r="L78" s="2"/>
      <c r="M78" s="2"/>
      <c r="N78" s="2"/>
      <c r="O78" s="2"/>
      <c r="P78" s="30"/>
      <c r="Q78" s="2"/>
    </row>
    <row r="79" ht="28.5" customHeight="1" spans="1:17">
      <c r="A79" s="2"/>
      <c r="B79" s="27"/>
      <c r="C79" s="28"/>
      <c r="D79" s="2"/>
      <c r="E79" s="2"/>
      <c r="F79" s="2"/>
      <c r="G79" s="2"/>
      <c r="H79" s="10"/>
      <c r="I79" s="2"/>
      <c r="J79" s="2"/>
      <c r="K79" s="2"/>
      <c r="L79" s="2"/>
      <c r="M79" s="2"/>
      <c r="N79" s="2"/>
      <c r="O79" s="2"/>
      <c r="P79" s="30"/>
      <c r="Q79" s="2"/>
    </row>
    <row r="80" ht="28.5" customHeight="1" spans="1:17">
      <c r="A80" s="2"/>
      <c r="B80" s="27"/>
      <c r="C80" s="28"/>
      <c r="D80" s="2"/>
      <c r="E80" s="2"/>
      <c r="F80" s="2"/>
      <c r="G80" s="2"/>
      <c r="H80" s="10"/>
      <c r="I80" s="2"/>
      <c r="J80" s="2"/>
      <c r="K80" s="2"/>
      <c r="L80" s="2"/>
      <c r="M80" s="2"/>
      <c r="N80" s="2"/>
      <c r="O80" s="2"/>
      <c r="P80" s="30"/>
      <c r="Q80" s="2"/>
    </row>
    <row r="81" ht="28.5" customHeight="1" spans="1:17">
      <c r="A81" s="2"/>
      <c r="B81" s="27"/>
      <c r="C81" s="28"/>
      <c r="D81" s="2"/>
      <c r="E81" s="2"/>
      <c r="F81" s="2"/>
      <c r="G81" s="2"/>
      <c r="H81" s="10"/>
      <c r="I81" s="2"/>
      <c r="J81" s="2"/>
      <c r="K81" s="2"/>
      <c r="L81" s="2"/>
      <c r="M81" s="2"/>
      <c r="N81" s="2"/>
      <c r="O81" s="2"/>
      <c r="P81" s="30"/>
      <c r="Q81" s="2"/>
    </row>
    <row r="82" ht="28.5" customHeight="1" spans="1:17">
      <c r="A82" s="2"/>
      <c r="B82" s="27"/>
      <c r="C82" s="28"/>
      <c r="D82" s="2"/>
      <c r="E82" s="2"/>
      <c r="F82" s="2"/>
      <c r="G82" s="2"/>
      <c r="H82" s="10"/>
      <c r="I82" s="2"/>
      <c r="J82" s="2"/>
      <c r="K82" s="2"/>
      <c r="L82" s="2"/>
      <c r="M82" s="2"/>
      <c r="N82" s="2"/>
      <c r="O82" s="2"/>
      <c r="P82" s="30"/>
      <c r="Q82" s="2"/>
    </row>
    <row r="83" ht="28.5" customHeight="1" spans="1:17">
      <c r="A83" s="2"/>
      <c r="B83" s="27"/>
      <c r="C83" s="28"/>
      <c r="D83" s="2"/>
      <c r="E83" s="2"/>
      <c r="F83" s="2"/>
      <c r="G83" s="2"/>
      <c r="H83" s="10"/>
      <c r="I83" s="2"/>
      <c r="J83" s="2"/>
      <c r="K83" s="2"/>
      <c r="L83" s="2"/>
      <c r="M83" s="2"/>
      <c r="N83" s="2"/>
      <c r="O83" s="2"/>
      <c r="P83" s="30"/>
      <c r="Q83" s="2"/>
    </row>
    <row r="84" ht="28.5" customHeight="1" spans="1:17">
      <c r="A84" s="2"/>
      <c r="B84" s="27"/>
      <c r="C84" s="28"/>
      <c r="D84" s="2"/>
      <c r="E84" s="2"/>
      <c r="F84" s="2"/>
      <c r="G84" s="2"/>
      <c r="H84" s="10"/>
      <c r="I84" s="2"/>
      <c r="J84" s="2"/>
      <c r="K84" s="2"/>
      <c r="L84" s="2"/>
      <c r="M84" s="2"/>
      <c r="N84" s="2"/>
      <c r="O84" s="2"/>
      <c r="P84" s="30"/>
      <c r="Q84" s="2"/>
    </row>
    <row r="85" ht="28.5" customHeight="1" spans="1:17">
      <c r="A85" s="2"/>
      <c r="B85" s="27"/>
      <c r="C85" s="28"/>
      <c r="D85" s="2"/>
      <c r="E85" s="2"/>
      <c r="F85" s="2"/>
      <c r="G85" s="2"/>
      <c r="H85" s="10"/>
      <c r="I85" s="2"/>
      <c r="J85" s="2"/>
      <c r="K85" s="2"/>
      <c r="L85" s="2"/>
      <c r="M85" s="2"/>
      <c r="N85" s="2"/>
      <c r="O85" s="2"/>
      <c r="P85" s="30"/>
      <c r="Q85" s="2"/>
    </row>
    <row r="86" ht="28.5" customHeight="1" spans="1:17">
      <c r="A86" s="2"/>
      <c r="B86" s="27"/>
      <c r="C86" s="28"/>
      <c r="D86" s="2"/>
      <c r="E86" s="2"/>
      <c r="F86" s="2"/>
      <c r="G86" s="2"/>
      <c r="H86" s="10"/>
      <c r="I86" s="2"/>
      <c r="J86" s="2"/>
      <c r="K86" s="2"/>
      <c r="L86" s="2"/>
      <c r="M86" s="2"/>
      <c r="N86" s="2"/>
      <c r="O86" s="2"/>
      <c r="P86" s="30"/>
      <c r="Q86" s="2"/>
    </row>
    <row r="87" ht="28.5" customHeight="1" spans="1:17">
      <c r="A87" s="2"/>
      <c r="B87" s="27"/>
      <c r="C87" s="28"/>
      <c r="D87" s="2"/>
      <c r="E87" s="2"/>
      <c r="F87" s="2"/>
      <c r="G87" s="2"/>
      <c r="H87" s="10"/>
      <c r="I87" s="2"/>
      <c r="J87" s="2"/>
      <c r="K87" s="2"/>
      <c r="L87" s="2"/>
      <c r="M87" s="2"/>
      <c r="N87" s="2"/>
      <c r="O87" s="2"/>
      <c r="P87" s="30"/>
      <c r="Q87" s="2"/>
    </row>
    <row r="88" ht="28.5" customHeight="1" spans="1:17">
      <c r="A88" s="2"/>
      <c r="B88" s="27"/>
      <c r="C88" s="28"/>
      <c r="D88" s="2"/>
      <c r="E88" s="2"/>
      <c r="F88" s="2"/>
      <c r="G88" s="2"/>
      <c r="H88" s="10"/>
      <c r="I88" s="2"/>
      <c r="J88" s="2"/>
      <c r="K88" s="2"/>
      <c r="L88" s="2"/>
      <c r="M88" s="2"/>
      <c r="N88" s="2"/>
      <c r="O88" s="2"/>
      <c r="P88" s="30"/>
      <c r="Q88" s="2"/>
    </row>
    <row r="89" ht="28.5" customHeight="1" spans="1:17">
      <c r="A89" s="2"/>
      <c r="B89" s="27"/>
      <c r="C89" s="28"/>
      <c r="D89" s="2"/>
      <c r="E89" s="2"/>
      <c r="F89" s="2"/>
      <c r="G89" s="2"/>
      <c r="H89" s="10"/>
      <c r="I89" s="2"/>
      <c r="J89" s="2"/>
      <c r="K89" s="2"/>
      <c r="L89" s="2"/>
      <c r="M89" s="2"/>
      <c r="N89" s="2"/>
      <c r="O89" s="2"/>
      <c r="P89" s="30"/>
      <c r="Q89" s="2"/>
    </row>
    <row r="90" ht="28.5" customHeight="1" spans="1:17">
      <c r="A90" s="2"/>
      <c r="B90" s="27"/>
      <c r="C90" s="28"/>
      <c r="D90" s="2"/>
      <c r="E90" s="2"/>
      <c r="F90" s="2"/>
      <c r="G90" s="2"/>
      <c r="H90" s="10"/>
      <c r="I90" s="2"/>
      <c r="J90" s="2"/>
      <c r="K90" s="2"/>
      <c r="L90" s="2"/>
      <c r="M90" s="2"/>
      <c r="N90" s="2"/>
      <c r="O90" s="2"/>
      <c r="P90" s="30"/>
      <c r="Q90" s="2"/>
    </row>
    <row r="91" ht="28.5" customHeight="1" spans="1:17">
      <c r="A91" s="2"/>
      <c r="B91" s="27"/>
      <c r="C91" s="28"/>
      <c r="D91" s="2"/>
      <c r="E91" s="2"/>
      <c r="F91" s="2"/>
      <c r="G91" s="2"/>
      <c r="H91" s="10"/>
      <c r="I91" s="2"/>
      <c r="J91" s="2"/>
      <c r="K91" s="2"/>
      <c r="L91" s="2"/>
      <c r="M91" s="2"/>
      <c r="N91" s="2"/>
      <c r="O91" s="2"/>
      <c r="P91" s="30"/>
      <c r="Q91" s="2"/>
    </row>
    <row r="92" ht="28.5" customHeight="1" spans="1:17">
      <c r="A92" s="2"/>
      <c r="B92" s="27"/>
      <c r="C92" s="28"/>
      <c r="D92" s="2"/>
      <c r="E92" s="2"/>
      <c r="F92" s="2"/>
      <c r="G92" s="2"/>
      <c r="H92" s="10"/>
      <c r="I92" s="2"/>
      <c r="J92" s="2"/>
      <c r="K92" s="2"/>
      <c r="L92" s="2"/>
      <c r="M92" s="2"/>
      <c r="N92" s="2"/>
      <c r="O92" s="2"/>
      <c r="P92" s="30"/>
      <c r="Q92" s="2"/>
    </row>
    <row r="93" ht="28.5" customHeight="1" spans="1:17">
      <c r="A93" s="2"/>
      <c r="B93" s="27"/>
      <c r="C93" s="28"/>
      <c r="D93" s="2"/>
      <c r="E93" s="2"/>
      <c r="F93" s="2"/>
      <c r="G93" s="2"/>
      <c r="H93" s="10"/>
      <c r="I93" s="2"/>
      <c r="J93" s="2"/>
      <c r="K93" s="2"/>
      <c r="L93" s="2"/>
      <c r="M93" s="2"/>
      <c r="N93" s="2"/>
      <c r="O93" s="2"/>
      <c r="P93" s="30"/>
      <c r="Q93" s="2"/>
    </row>
    <row r="94" ht="28.5" customHeight="1" spans="1:17">
      <c r="A94" s="2"/>
      <c r="B94" s="27"/>
      <c r="C94" s="28"/>
      <c r="D94" s="2"/>
      <c r="E94" s="2"/>
      <c r="F94" s="2"/>
      <c r="G94" s="2"/>
      <c r="H94" s="10"/>
      <c r="I94" s="2"/>
      <c r="J94" s="2"/>
      <c r="K94" s="2"/>
      <c r="L94" s="2"/>
      <c r="M94" s="2"/>
      <c r="N94" s="2"/>
      <c r="O94" s="2"/>
      <c r="P94" s="30"/>
      <c r="Q94" s="2"/>
    </row>
    <row r="95" ht="28.5" customHeight="1" spans="1:17">
      <c r="A95" s="2"/>
      <c r="B95" s="27"/>
      <c r="C95" s="28"/>
      <c r="D95" s="2"/>
      <c r="E95" s="2"/>
      <c r="F95" s="2"/>
      <c r="G95" s="2"/>
      <c r="H95" s="10"/>
      <c r="I95" s="2"/>
      <c r="J95" s="2"/>
      <c r="K95" s="2"/>
      <c r="L95" s="2"/>
      <c r="M95" s="2"/>
      <c r="N95" s="2"/>
      <c r="O95" s="2"/>
      <c r="P95" s="30"/>
      <c r="Q95" s="2"/>
    </row>
    <row r="96" ht="28.5" customHeight="1" spans="1:17">
      <c r="A96" s="2"/>
      <c r="B96" s="27"/>
      <c r="C96" s="28"/>
      <c r="D96" s="2"/>
      <c r="E96" s="2"/>
      <c r="F96" s="2"/>
      <c r="G96" s="2"/>
      <c r="H96" s="10"/>
      <c r="I96" s="2"/>
      <c r="J96" s="2"/>
      <c r="K96" s="2"/>
      <c r="L96" s="2"/>
      <c r="M96" s="2"/>
      <c r="N96" s="2"/>
      <c r="O96" s="2"/>
      <c r="P96" s="30"/>
      <c r="Q96" s="2"/>
    </row>
    <row r="97" ht="28.5" customHeight="1" spans="1:17">
      <c r="A97" s="2"/>
      <c r="B97" s="27"/>
      <c r="C97" s="28"/>
      <c r="D97" s="2"/>
      <c r="E97" s="2"/>
      <c r="F97" s="2"/>
      <c r="G97" s="2"/>
      <c r="H97" s="10"/>
      <c r="I97" s="2"/>
      <c r="J97" s="2"/>
      <c r="K97" s="2"/>
      <c r="L97" s="2"/>
      <c r="M97" s="2"/>
      <c r="N97" s="2"/>
      <c r="O97" s="2"/>
      <c r="P97" s="30"/>
      <c r="Q97" s="2"/>
    </row>
    <row r="98" ht="28.5" customHeight="1" spans="1:17">
      <c r="A98" s="2"/>
      <c r="B98" s="27"/>
      <c r="C98" s="28"/>
      <c r="D98" s="2"/>
      <c r="E98" s="2"/>
      <c r="F98" s="2"/>
      <c r="G98" s="2"/>
      <c r="H98" s="10"/>
      <c r="I98" s="2"/>
      <c r="J98" s="2"/>
      <c r="K98" s="2"/>
      <c r="L98" s="2"/>
      <c r="M98" s="2"/>
      <c r="N98" s="2"/>
      <c r="O98" s="2"/>
      <c r="P98" s="30"/>
      <c r="Q98" s="2"/>
    </row>
    <row r="99" ht="28.5" customHeight="1" spans="1:17">
      <c r="A99" s="2"/>
      <c r="B99" s="27"/>
      <c r="C99" s="28"/>
      <c r="D99" s="2"/>
      <c r="E99" s="2"/>
      <c r="F99" s="2"/>
      <c r="G99" s="2"/>
      <c r="H99" s="10"/>
      <c r="I99" s="2"/>
      <c r="J99" s="2"/>
      <c r="K99" s="2"/>
      <c r="L99" s="2"/>
      <c r="M99" s="2"/>
      <c r="N99" s="2"/>
      <c r="O99" s="2"/>
      <c r="P99" s="30"/>
      <c r="Q99" s="2"/>
    </row>
    <row r="100" ht="28.5" customHeight="1" spans="1:17">
      <c r="A100" s="2"/>
      <c r="B100" s="27"/>
      <c r="C100" s="28"/>
      <c r="D100" s="2"/>
      <c r="E100" s="2"/>
      <c r="F100" s="2"/>
      <c r="G100" s="2"/>
      <c r="H100" s="10"/>
      <c r="I100" s="2"/>
      <c r="J100" s="2"/>
      <c r="K100" s="2"/>
      <c r="L100" s="2"/>
      <c r="M100" s="2"/>
      <c r="N100" s="2"/>
      <c r="O100" s="2"/>
      <c r="P100" s="30"/>
      <c r="Q100" s="2"/>
    </row>
  </sheetData>
  <mergeCells count="2">
    <mergeCell ref="A1:P1"/>
    <mergeCell ref="A2:P2"/>
  </mergeCells>
  <printOptions horizontalCentered="1" gridLines="1"/>
  <pageMargins left="0" right="0" top="0.196850393700787" bottom="0.196850393700787" header="0" footer="0"/>
  <pageSetup paperSize="9" scale="75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7" customWidth="1"/>
    <col min="3" max="3" width="26.5727272727273" customWidth="1"/>
    <col min="4" max="5" width="10.8545454545455" customWidth="1"/>
    <col min="6" max="6" width="8.57272727272727" customWidth="1"/>
    <col min="7" max="7" width="10.4272727272727" customWidth="1"/>
    <col min="8" max="8" width="25.4272727272727" customWidth="1"/>
    <col min="9" max="11" width="9.13636363636364" customWidth="1"/>
  </cols>
  <sheetData>
    <row r="1" ht="28.5" customHeight="1" spans="1:11">
      <c r="A1" s="1" t="s">
        <v>317</v>
      </c>
      <c r="I1" s="2"/>
      <c r="J1" s="2"/>
      <c r="K1" s="2"/>
    </row>
    <row r="2" ht="28.5" customHeight="1" spans="1:11">
      <c r="A2" s="1" t="s">
        <v>318</v>
      </c>
      <c r="I2" s="2"/>
      <c r="J2" s="2"/>
      <c r="K2" s="2"/>
    </row>
    <row r="3" ht="28.5" customHeight="1" spans="1:11">
      <c r="A3" s="3" t="s">
        <v>319</v>
      </c>
      <c r="B3" s="4" t="s">
        <v>320</v>
      </c>
      <c r="C3" s="4" t="s">
        <v>3</v>
      </c>
      <c r="D3" s="3" t="s">
        <v>4</v>
      </c>
      <c r="E3" s="3" t="s">
        <v>5</v>
      </c>
      <c r="F3" s="5" t="s">
        <v>259</v>
      </c>
      <c r="G3" s="3" t="s">
        <v>27</v>
      </c>
      <c r="H3" s="5" t="s">
        <v>28</v>
      </c>
      <c r="I3" s="2"/>
      <c r="J3" s="2"/>
      <c r="K3" s="2"/>
    </row>
    <row r="4" ht="28.5" customHeight="1" spans="1:11">
      <c r="A4" s="6"/>
      <c r="B4" s="7"/>
      <c r="C4" s="8" t="s">
        <v>30</v>
      </c>
      <c r="D4" s="9"/>
      <c r="E4" s="6"/>
      <c r="F4" s="10"/>
      <c r="G4" s="6"/>
      <c r="H4" s="10"/>
      <c r="I4" s="2"/>
      <c r="J4" s="2"/>
      <c r="K4" s="2"/>
    </row>
    <row r="5" ht="28.5" customHeight="1" spans="1:11">
      <c r="A5" s="6"/>
      <c r="B5" s="7"/>
      <c r="C5" s="11" t="s">
        <v>385</v>
      </c>
      <c r="D5" s="12"/>
      <c r="E5" s="13"/>
      <c r="F5" s="5">
        <v>31</v>
      </c>
      <c r="G5" s="12"/>
      <c r="H5" s="10"/>
      <c r="I5" s="2"/>
      <c r="J5" s="2"/>
      <c r="K5" s="2"/>
    </row>
    <row r="6" ht="28.5" customHeight="1" spans="1:11">
      <c r="A6" s="6">
        <v>1</v>
      </c>
      <c r="B6" s="7">
        <v>1</v>
      </c>
      <c r="C6" s="14" t="s">
        <v>32</v>
      </c>
      <c r="D6" s="9" t="s">
        <v>33</v>
      </c>
      <c r="E6" s="6">
        <v>13000</v>
      </c>
      <c r="F6" s="15">
        <v>31</v>
      </c>
      <c r="G6" s="6">
        <v>12970</v>
      </c>
      <c r="H6" s="200" t="s">
        <v>34</v>
      </c>
      <c r="I6" s="2"/>
      <c r="J6" s="2"/>
      <c r="K6" s="2"/>
    </row>
    <row r="7" ht="28.5" customHeight="1" spans="1:11">
      <c r="A7" s="6">
        <v>2</v>
      </c>
      <c r="B7" s="7">
        <v>2</v>
      </c>
      <c r="C7" s="14" t="s">
        <v>386</v>
      </c>
      <c r="D7" s="9" t="s">
        <v>387</v>
      </c>
      <c r="E7" s="6">
        <v>12000</v>
      </c>
      <c r="F7" s="15">
        <v>31</v>
      </c>
      <c r="G7" s="6">
        <v>11970</v>
      </c>
      <c r="H7" s="200" t="s">
        <v>388</v>
      </c>
      <c r="I7" s="2"/>
      <c r="J7" s="2"/>
      <c r="K7" s="2"/>
    </row>
    <row r="8" ht="28.5" customHeight="1" spans="1:11">
      <c r="A8" s="6">
        <v>3</v>
      </c>
      <c r="B8" s="7">
        <v>3</v>
      </c>
      <c r="C8" s="14" t="s">
        <v>389</v>
      </c>
      <c r="D8" s="9" t="s">
        <v>387</v>
      </c>
      <c r="E8" s="6">
        <v>12000</v>
      </c>
      <c r="F8" s="15">
        <v>29</v>
      </c>
      <c r="G8" s="6">
        <v>11196</v>
      </c>
      <c r="H8" s="200" t="s">
        <v>390</v>
      </c>
      <c r="I8" s="2"/>
      <c r="J8" s="2"/>
      <c r="K8" s="2"/>
    </row>
    <row r="9" ht="28.5" customHeight="1" spans="1:11">
      <c r="A9" s="6">
        <v>4</v>
      </c>
      <c r="B9" s="7">
        <v>4</v>
      </c>
      <c r="C9" s="14" t="s">
        <v>391</v>
      </c>
      <c r="D9" s="9" t="s">
        <v>387</v>
      </c>
      <c r="E9" s="6">
        <v>12000</v>
      </c>
      <c r="F9" s="15">
        <v>31</v>
      </c>
      <c r="G9" s="6">
        <v>11970</v>
      </c>
      <c r="H9" s="200" t="s">
        <v>392</v>
      </c>
      <c r="I9" s="2"/>
      <c r="J9" s="2"/>
      <c r="K9" s="2"/>
    </row>
    <row r="10" ht="28.5" customHeight="1" spans="1:11">
      <c r="A10" s="6">
        <v>5</v>
      </c>
      <c r="B10" s="7">
        <v>5</v>
      </c>
      <c r="C10" s="14" t="s">
        <v>393</v>
      </c>
      <c r="D10" s="9" t="s">
        <v>387</v>
      </c>
      <c r="E10" s="6">
        <v>12000</v>
      </c>
      <c r="F10" s="15">
        <v>31</v>
      </c>
      <c r="G10" s="6">
        <v>11970</v>
      </c>
      <c r="H10" s="200" t="s">
        <v>394</v>
      </c>
      <c r="I10" s="2"/>
      <c r="J10" s="2"/>
      <c r="K10" s="2"/>
    </row>
    <row r="11" ht="28.5" customHeight="1" spans="1:11">
      <c r="A11" s="6">
        <v>6</v>
      </c>
      <c r="B11" s="7">
        <v>6</v>
      </c>
      <c r="C11" s="14" t="s">
        <v>395</v>
      </c>
      <c r="D11" s="9" t="s">
        <v>387</v>
      </c>
      <c r="E11" s="6">
        <v>12000</v>
      </c>
      <c r="F11" s="15">
        <v>31</v>
      </c>
      <c r="G11" s="6">
        <v>11970</v>
      </c>
      <c r="H11" s="200" t="s">
        <v>396</v>
      </c>
      <c r="I11" s="2"/>
      <c r="J11" s="2"/>
      <c r="K11" s="2"/>
    </row>
    <row r="12" ht="28.5" customHeight="1" spans="1:11">
      <c r="A12" s="6">
        <v>7</v>
      </c>
      <c r="B12" s="7">
        <v>7</v>
      </c>
      <c r="C12" s="14" t="s">
        <v>397</v>
      </c>
      <c r="D12" s="9" t="s">
        <v>387</v>
      </c>
      <c r="E12" s="6">
        <v>12000</v>
      </c>
      <c r="F12" s="15">
        <v>12</v>
      </c>
      <c r="G12" s="6">
        <v>4616</v>
      </c>
      <c r="H12" s="200" t="s">
        <v>398</v>
      </c>
      <c r="I12" s="2"/>
      <c r="J12" s="2"/>
      <c r="K12" s="2"/>
    </row>
    <row r="13" ht="28.5" customHeight="1" spans="1:11">
      <c r="A13" s="6">
        <v>8</v>
      </c>
      <c r="B13" s="7">
        <v>8</v>
      </c>
      <c r="C13" s="14" t="s">
        <v>399</v>
      </c>
      <c r="D13" s="9" t="s">
        <v>387</v>
      </c>
      <c r="E13" s="6">
        <v>12000</v>
      </c>
      <c r="F13" s="15">
        <v>3</v>
      </c>
      <c r="G13" s="6">
        <v>1132</v>
      </c>
      <c r="H13" s="200" t="s">
        <v>400</v>
      </c>
      <c r="I13" s="2"/>
      <c r="J13" s="2"/>
      <c r="K13" s="2"/>
    </row>
    <row r="14" ht="28.5" customHeight="1" spans="1:11">
      <c r="A14" s="6">
        <v>9</v>
      </c>
      <c r="B14" s="7">
        <v>9</v>
      </c>
      <c r="C14" s="14" t="s">
        <v>401</v>
      </c>
      <c r="D14" s="9" t="s">
        <v>387</v>
      </c>
      <c r="E14" s="6">
        <v>12000</v>
      </c>
      <c r="F14" s="15">
        <v>30</v>
      </c>
      <c r="G14" s="6">
        <v>11583</v>
      </c>
      <c r="H14" s="200" t="s">
        <v>402</v>
      </c>
      <c r="I14" s="2"/>
      <c r="J14" s="2"/>
      <c r="K14" s="2"/>
    </row>
    <row r="15" ht="28.5" customHeight="1" spans="1:11">
      <c r="A15" s="6">
        <v>10</v>
      </c>
      <c r="B15" s="7">
        <v>10</v>
      </c>
      <c r="C15" s="14" t="s">
        <v>403</v>
      </c>
      <c r="D15" s="9" t="s">
        <v>387</v>
      </c>
      <c r="E15" s="6">
        <v>10000</v>
      </c>
      <c r="F15" s="15">
        <v>8</v>
      </c>
      <c r="G15" s="6">
        <v>2551</v>
      </c>
      <c r="H15" s="200" t="s">
        <v>404</v>
      </c>
      <c r="I15" s="2"/>
      <c r="J15" s="2"/>
      <c r="K15" s="2"/>
    </row>
    <row r="16" ht="28.5" customHeight="1" spans="1:11">
      <c r="A16" s="6">
        <v>11</v>
      </c>
      <c r="B16" s="7">
        <v>11</v>
      </c>
      <c r="C16" s="14" t="s">
        <v>405</v>
      </c>
      <c r="D16" s="9" t="s">
        <v>387</v>
      </c>
      <c r="E16" s="6">
        <v>10000</v>
      </c>
      <c r="F16" s="15">
        <v>19</v>
      </c>
      <c r="G16" s="6">
        <v>6100</v>
      </c>
      <c r="H16" s="200" t="s">
        <v>48</v>
      </c>
      <c r="I16" s="2"/>
      <c r="J16" s="2"/>
      <c r="K16" s="2"/>
    </row>
    <row r="17" ht="28.5" customHeight="1" spans="1:11">
      <c r="A17" s="6">
        <v>12</v>
      </c>
      <c r="B17" s="7">
        <v>12</v>
      </c>
      <c r="C17" s="14" t="s">
        <v>406</v>
      </c>
      <c r="D17" s="9" t="s">
        <v>387</v>
      </c>
      <c r="E17" s="6">
        <v>10000</v>
      </c>
      <c r="F17" s="15">
        <v>31</v>
      </c>
      <c r="G17" s="6">
        <v>9970</v>
      </c>
      <c r="H17" s="202" t="s">
        <v>407</v>
      </c>
      <c r="I17" s="2"/>
      <c r="J17" s="2"/>
      <c r="K17" s="2"/>
    </row>
    <row r="18" ht="28.5" customHeight="1" spans="1:11">
      <c r="A18" s="6">
        <v>13</v>
      </c>
      <c r="B18" s="7">
        <v>13</v>
      </c>
      <c r="C18" s="17" t="s">
        <v>408</v>
      </c>
      <c r="D18" s="9" t="s">
        <v>387</v>
      </c>
      <c r="E18" s="6">
        <v>10000</v>
      </c>
      <c r="F18" s="15">
        <v>24</v>
      </c>
      <c r="G18" s="6">
        <v>7712</v>
      </c>
      <c r="H18" s="200" t="s">
        <v>409</v>
      </c>
      <c r="I18" s="2"/>
      <c r="J18" s="2"/>
      <c r="K18" s="2"/>
    </row>
    <row r="19" ht="28.5" customHeight="1" spans="1:11">
      <c r="A19" s="6">
        <v>14</v>
      </c>
      <c r="B19" s="7">
        <v>14</v>
      </c>
      <c r="C19" s="14" t="s">
        <v>410</v>
      </c>
      <c r="D19" s="9" t="s">
        <v>387</v>
      </c>
      <c r="E19" s="6">
        <v>10000</v>
      </c>
      <c r="F19" s="15">
        <v>31</v>
      </c>
      <c r="G19" s="6">
        <v>9970</v>
      </c>
      <c r="H19" s="200" t="s">
        <v>108</v>
      </c>
      <c r="I19" s="2"/>
      <c r="J19" s="2"/>
      <c r="K19" s="2"/>
    </row>
    <row r="20" ht="28.5" customHeight="1" spans="1:11">
      <c r="A20" s="6">
        <v>15</v>
      </c>
      <c r="B20" s="7">
        <v>15</v>
      </c>
      <c r="C20" s="14" t="s">
        <v>411</v>
      </c>
      <c r="D20" s="9" t="s">
        <v>387</v>
      </c>
      <c r="E20" s="6">
        <v>12000</v>
      </c>
      <c r="F20" s="15">
        <v>31</v>
      </c>
      <c r="G20" s="6">
        <v>11970</v>
      </c>
      <c r="H20" s="200" t="s">
        <v>412</v>
      </c>
      <c r="I20" s="2"/>
      <c r="J20" s="2"/>
      <c r="K20" s="2"/>
    </row>
    <row r="21" ht="28.5" customHeight="1" spans="1:11">
      <c r="A21" s="6">
        <v>16</v>
      </c>
      <c r="B21" s="7">
        <v>16</v>
      </c>
      <c r="C21" s="14" t="s">
        <v>413</v>
      </c>
      <c r="D21" s="9" t="s">
        <v>387</v>
      </c>
      <c r="E21" s="6">
        <v>12000</v>
      </c>
      <c r="F21" s="15">
        <v>31</v>
      </c>
      <c r="G21" s="6">
        <v>11970</v>
      </c>
      <c r="H21" s="203" t="s">
        <v>414</v>
      </c>
      <c r="I21" s="2"/>
      <c r="J21" s="2"/>
      <c r="K21" s="2"/>
    </row>
    <row r="22" ht="28.5" customHeight="1" spans="1:11">
      <c r="A22" s="6">
        <v>17</v>
      </c>
      <c r="B22" s="7">
        <v>17</v>
      </c>
      <c r="C22" s="14" t="s">
        <v>415</v>
      </c>
      <c r="D22" s="9" t="s">
        <v>387</v>
      </c>
      <c r="E22" s="6">
        <v>12000</v>
      </c>
      <c r="F22" s="15">
        <v>26</v>
      </c>
      <c r="G22" s="6">
        <v>10035</v>
      </c>
      <c r="H22" s="203" t="s">
        <v>416</v>
      </c>
      <c r="I22" s="2"/>
      <c r="J22" s="2"/>
      <c r="K22" s="2"/>
    </row>
    <row r="23" ht="28.5" customHeight="1" spans="1:11">
      <c r="A23" s="6">
        <v>18</v>
      </c>
      <c r="B23" s="7">
        <v>18</v>
      </c>
      <c r="C23" s="14" t="s">
        <v>417</v>
      </c>
      <c r="D23" s="9" t="s">
        <v>387</v>
      </c>
      <c r="E23" s="6">
        <v>12000</v>
      </c>
      <c r="F23" s="15">
        <v>31</v>
      </c>
      <c r="G23" s="6">
        <v>11970</v>
      </c>
      <c r="H23" s="203" t="s">
        <v>418</v>
      </c>
      <c r="I23" s="2"/>
      <c r="J23" s="2"/>
      <c r="K23" s="2"/>
    </row>
    <row r="24" ht="28.5" customHeight="1" spans="1:11">
      <c r="A24" s="6">
        <v>19</v>
      </c>
      <c r="B24" s="7">
        <v>19</v>
      </c>
      <c r="C24" s="14" t="s">
        <v>419</v>
      </c>
      <c r="D24" s="9" t="s">
        <v>387</v>
      </c>
      <c r="E24" s="6">
        <v>10000</v>
      </c>
      <c r="F24" s="15">
        <v>4</v>
      </c>
      <c r="G24" s="6">
        <v>1261</v>
      </c>
      <c r="H24" s="200" t="s">
        <v>420</v>
      </c>
      <c r="I24" s="2"/>
      <c r="J24" s="2"/>
      <c r="K24" s="2"/>
    </row>
    <row r="25" ht="28.5" customHeight="1" spans="1:11">
      <c r="A25" s="6">
        <v>20</v>
      </c>
      <c r="B25" s="7">
        <v>20</v>
      </c>
      <c r="C25" s="14" t="s">
        <v>421</v>
      </c>
      <c r="D25" s="9" t="s">
        <v>387</v>
      </c>
      <c r="E25" s="6">
        <v>10000</v>
      </c>
      <c r="F25" s="15">
        <v>31</v>
      </c>
      <c r="G25" s="6">
        <v>9970</v>
      </c>
      <c r="H25" s="203" t="s">
        <v>422</v>
      </c>
      <c r="I25" s="2"/>
      <c r="J25" s="2"/>
      <c r="K25" s="2"/>
    </row>
    <row r="26" ht="28.5" customHeight="1" spans="1:11">
      <c r="A26" s="6">
        <v>21</v>
      </c>
      <c r="B26" s="7">
        <v>21</v>
      </c>
      <c r="C26" s="14" t="s">
        <v>423</v>
      </c>
      <c r="D26" s="9" t="s">
        <v>387</v>
      </c>
      <c r="E26" s="6">
        <v>10000</v>
      </c>
      <c r="F26" s="15">
        <v>31</v>
      </c>
      <c r="G26" s="6">
        <v>9970</v>
      </c>
      <c r="H26" s="203" t="s">
        <v>119</v>
      </c>
      <c r="I26" s="2"/>
      <c r="J26" s="2"/>
      <c r="K26" s="2"/>
    </row>
    <row r="27" ht="28.5" customHeight="1" spans="1:11">
      <c r="A27" s="6">
        <v>22</v>
      </c>
      <c r="B27" s="7">
        <v>22</v>
      </c>
      <c r="C27" s="14" t="s">
        <v>424</v>
      </c>
      <c r="D27" s="9" t="s">
        <v>387</v>
      </c>
      <c r="E27" s="6">
        <v>10000</v>
      </c>
      <c r="F27" s="15">
        <v>31</v>
      </c>
      <c r="G27" s="6">
        <v>9970</v>
      </c>
      <c r="H27" s="203" t="s">
        <v>425</v>
      </c>
      <c r="I27" s="2"/>
      <c r="J27" s="2"/>
      <c r="K27" s="2"/>
    </row>
    <row r="28" ht="28.5" customHeight="1" spans="1:11">
      <c r="A28" s="6">
        <v>23</v>
      </c>
      <c r="B28" s="7">
        <v>23</v>
      </c>
      <c r="C28" s="14" t="s">
        <v>426</v>
      </c>
      <c r="D28" s="9" t="s">
        <v>387</v>
      </c>
      <c r="E28" s="6">
        <v>10000</v>
      </c>
      <c r="F28" s="15">
        <v>31</v>
      </c>
      <c r="G28" s="6">
        <v>9970</v>
      </c>
      <c r="H28" s="203" t="s">
        <v>124</v>
      </c>
      <c r="I28" s="2"/>
      <c r="J28" s="2"/>
      <c r="K28" s="2"/>
    </row>
    <row r="29" ht="28.5" customHeight="1" spans="1:11">
      <c r="A29" s="6">
        <v>24</v>
      </c>
      <c r="B29" s="7">
        <v>24</v>
      </c>
      <c r="C29" s="14" t="s">
        <v>427</v>
      </c>
      <c r="D29" s="9" t="s">
        <v>387</v>
      </c>
      <c r="E29" s="6">
        <v>10000</v>
      </c>
      <c r="F29" s="15">
        <v>31</v>
      </c>
      <c r="G29" s="6">
        <v>9970</v>
      </c>
      <c r="H29" s="200" t="s">
        <v>117</v>
      </c>
      <c r="I29" s="2"/>
      <c r="J29" s="2"/>
      <c r="K29" s="2"/>
    </row>
    <row r="30" ht="28.5" customHeight="1" spans="1:11">
      <c r="A30" s="6">
        <v>25</v>
      </c>
      <c r="B30" s="7">
        <v>25</v>
      </c>
      <c r="C30" s="14" t="s">
        <v>428</v>
      </c>
      <c r="D30" s="9" t="s">
        <v>387</v>
      </c>
      <c r="E30" s="6">
        <v>10000</v>
      </c>
      <c r="F30" s="15">
        <v>31</v>
      </c>
      <c r="G30" s="6">
        <v>9970</v>
      </c>
      <c r="H30" s="203" t="s">
        <v>429</v>
      </c>
      <c r="I30" s="2"/>
      <c r="J30" s="2"/>
      <c r="K30" s="2"/>
    </row>
    <row r="31" ht="28.5" customHeight="1" spans="1:11">
      <c r="A31" s="6">
        <v>26</v>
      </c>
      <c r="B31" s="7">
        <v>26</v>
      </c>
      <c r="C31" s="14" t="s">
        <v>430</v>
      </c>
      <c r="D31" s="9" t="s">
        <v>387</v>
      </c>
      <c r="E31" s="6">
        <v>10000</v>
      </c>
      <c r="F31" s="15">
        <v>31</v>
      </c>
      <c r="G31" s="6">
        <v>9970</v>
      </c>
      <c r="H31" s="203" t="s">
        <v>431</v>
      </c>
      <c r="I31" s="2"/>
      <c r="J31" s="2"/>
      <c r="K31" s="2"/>
    </row>
    <row r="32" ht="28.5" customHeight="1" spans="1:11">
      <c r="A32" s="6">
        <v>27</v>
      </c>
      <c r="B32" s="7">
        <v>27</v>
      </c>
      <c r="C32" s="14" t="s">
        <v>432</v>
      </c>
      <c r="D32" s="9" t="s">
        <v>387</v>
      </c>
      <c r="E32" s="6">
        <v>10000</v>
      </c>
      <c r="F32" s="15">
        <v>21</v>
      </c>
      <c r="G32" s="6">
        <v>6745</v>
      </c>
      <c r="H32" s="203" t="s">
        <v>433</v>
      </c>
      <c r="I32" s="2"/>
      <c r="J32" s="2"/>
      <c r="K32" s="2"/>
    </row>
    <row r="33" ht="28.5" customHeight="1" spans="1:11">
      <c r="A33" s="6">
        <v>28</v>
      </c>
      <c r="B33" s="7">
        <v>28</v>
      </c>
      <c r="C33" s="14" t="s">
        <v>434</v>
      </c>
      <c r="D33" s="9" t="s">
        <v>387</v>
      </c>
      <c r="E33" s="6">
        <v>10000</v>
      </c>
      <c r="F33" s="15">
        <v>31</v>
      </c>
      <c r="G33" s="6">
        <v>9970</v>
      </c>
      <c r="H33" s="203" t="s">
        <v>435</v>
      </c>
      <c r="I33" s="2"/>
      <c r="J33" s="2"/>
      <c r="K33" s="2"/>
    </row>
    <row r="34" ht="28.5" customHeight="1" spans="1:11">
      <c r="A34" s="6">
        <v>29</v>
      </c>
      <c r="B34" s="7">
        <v>29</v>
      </c>
      <c r="C34" s="14" t="s">
        <v>436</v>
      </c>
      <c r="D34" s="9" t="s">
        <v>387</v>
      </c>
      <c r="E34" s="6">
        <v>10000</v>
      </c>
      <c r="F34" s="15">
        <v>10</v>
      </c>
      <c r="G34" s="6">
        <v>3196</v>
      </c>
      <c r="H34" s="200" t="s">
        <v>437</v>
      </c>
      <c r="I34" s="2"/>
      <c r="J34" s="2"/>
      <c r="K34" s="2"/>
    </row>
    <row r="35" ht="28.5" customHeight="1" spans="1:11">
      <c r="A35" s="6">
        <v>30</v>
      </c>
      <c r="B35" s="7">
        <v>30</v>
      </c>
      <c r="C35" s="14" t="s">
        <v>438</v>
      </c>
      <c r="D35" s="9" t="s">
        <v>387</v>
      </c>
      <c r="E35" s="6">
        <v>10000</v>
      </c>
      <c r="F35" s="15">
        <v>27</v>
      </c>
      <c r="G35" s="6">
        <v>8680</v>
      </c>
      <c r="H35" s="203" t="s">
        <v>439</v>
      </c>
      <c r="I35" s="2"/>
      <c r="J35" s="2"/>
      <c r="K35" s="2"/>
    </row>
    <row r="36" ht="28.5" customHeight="1" spans="1:11">
      <c r="A36" s="6">
        <v>31</v>
      </c>
      <c r="B36" s="7">
        <v>31</v>
      </c>
      <c r="C36" s="14" t="s">
        <v>440</v>
      </c>
      <c r="D36" s="9" t="s">
        <v>387</v>
      </c>
      <c r="E36" s="6">
        <v>10000</v>
      </c>
      <c r="F36" s="15">
        <v>24</v>
      </c>
      <c r="G36" s="6">
        <v>7712</v>
      </c>
      <c r="H36" s="203" t="s">
        <v>441</v>
      </c>
      <c r="I36" s="2"/>
      <c r="J36" s="2"/>
      <c r="K36" s="2"/>
    </row>
    <row r="37" ht="28.5" customHeight="1" spans="1:11">
      <c r="A37" s="6">
        <v>32</v>
      </c>
      <c r="B37" s="7">
        <v>32</v>
      </c>
      <c r="C37" s="14" t="s">
        <v>442</v>
      </c>
      <c r="D37" s="9" t="s">
        <v>387</v>
      </c>
      <c r="E37" s="6">
        <v>10000</v>
      </c>
      <c r="F37" s="15">
        <v>31</v>
      </c>
      <c r="G37" s="6">
        <v>9970</v>
      </c>
      <c r="H37" s="203" t="s">
        <v>443</v>
      </c>
      <c r="I37" s="2"/>
      <c r="J37" s="2"/>
      <c r="K37" s="2"/>
    </row>
    <row r="38" ht="28.5" customHeight="1" spans="1:11">
      <c r="A38" s="6">
        <v>33</v>
      </c>
      <c r="B38" s="7">
        <v>33</v>
      </c>
      <c r="C38" s="14" t="s">
        <v>444</v>
      </c>
      <c r="D38" s="9" t="s">
        <v>387</v>
      </c>
      <c r="E38" s="6">
        <v>10000</v>
      </c>
      <c r="F38" s="15">
        <v>31</v>
      </c>
      <c r="G38" s="6">
        <v>9970</v>
      </c>
      <c r="H38" s="203" t="s">
        <v>445</v>
      </c>
      <c r="I38" s="2"/>
      <c r="J38" s="2"/>
      <c r="K38" s="2"/>
    </row>
    <row r="39" ht="28.5" customHeight="1" spans="1:11">
      <c r="A39" s="6">
        <v>34</v>
      </c>
      <c r="B39" s="7">
        <v>34</v>
      </c>
      <c r="C39" s="14" t="s">
        <v>446</v>
      </c>
      <c r="D39" s="9" t="s">
        <v>387</v>
      </c>
      <c r="E39" s="6">
        <v>10000</v>
      </c>
      <c r="F39" s="15">
        <v>16</v>
      </c>
      <c r="G39" s="6">
        <v>5132</v>
      </c>
      <c r="H39" s="203" t="s">
        <v>447</v>
      </c>
      <c r="I39" s="2"/>
      <c r="J39" s="2"/>
      <c r="K39" s="2"/>
    </row>
    <row r="40" ht="28.5" customHeight="1" spans="1:11">
      <c r="A40" s="6">
        <v>35</v>
      </c>
      <c r="B40" s="7">
        <v>35</v>
      </c>
      <c r="C40" s="14" t="s">
        <v>448</v>
      </c>
      <c r="D40" s="9" t="s">
        <v>449</v>
      </c>
      <c r="E40" s="6">
        <v>9000</v>
      </c>
      <c r="F40" s="15">
        <v>24</v>
      </c>
      <c r="G40" s="6">
        <v>6938</v>
      </c>
      <c r="H40" s="200" t="s">
        <v>450</v>
      </c>
      <c r="I40" s="2"/>
      <c r="J40" s="2"/>
      <c r="K40" s="2"/>
    </row>
    <row r="41" ht="28.5" customHeight="1" spans="1:11">
      <c r="A41" s="6">
        <v>36</v>
      </c>
      <c r="B41" s="7">
        <v>36</v>
      </c>
      <c r="C41" s="14" t="s">
        <v>451</v>
      </c>
      <c r="D41" s="9" t="s">
        <v>387</v>
      </c>
      <c r="E41" s="6">
        <v>12000</v>
      </c>
      <c r="F41" s="15">
        <v>31</v>
      </c>
      <c r="G41" s="6">
        <v>11970</v>
      </c>
      <c r="H41" s="200" t="s">
        <v>452</v>
      </c>
      <c r="I41" s="2"/>
      <c r="J41" s="2"/>
      <c r="K41" s="2"/>
    </row>
    <row r="42" ht="28.5" customHeight="1" spans="1:11">
      <c r="A42" s="6">
        <v>37</v>
      </c>
      <c r="B42" s="7">
        <v>37</v>
      </c>
      <c r="C42" s="14" t="s">
        <v>453</v>
      </c>
      <c r="D42" s="9" t="s">
        <v>387</v>
      </c>
      <c r="E42" s="6">
        <v>10000</v>
      </c>
      <c r="F42" s="15">
        <v>31</v>
      </c>
      <c r="G42" s="6">
        <v>9970</v>
      </c>
      <c r="H42" s="200" t="s">
        <v>454</v>
      </c>
      <c r="I42" s="2"/>
      <c r="J42" s="2"/>
      <c r="K42" s="2"/>
    </row>
    <row r="43" ht="28.5" customHeight="1" spans="1:11">
      <c r="A43" s="6">
        <v>38</v>
      </c>
      <c r="B43" s="7">
        <v>38</v>
      </c>
      <c r="C43" s="14" t="s">
        <v>455</v>
      </c>
      <c r="D43" s="9" t="s">
        <v>449</v>
      </c>
      <c r="E43" s="6">
        <v>9000</v>
      </c>
      <c r="F43" s="15">
        <v>31</v>
      </c>
      <c r="G43" s="6">
        <v>8970</v>
      </c>
      <c r="H43" s="203" t="s">
        <v>456</v>
      </c>
      <c r="I43" s="2"/>
      <c r="J43" s="2"/>
      <c r="K43" s="2"/>
    </row>
    <row r="44" ht="28.5" customHeight="1" spans="1:11">
      <c r="A44" s="19"/>
      <c r="B44" s="20"/>
      <c r="C44" s="21" t="s">
        <v>140</v>
      </c>
      <c r="D44" s="22"/>
      <c r="E44" s="19">
        <v>407000</v>
      </c>
      <c r="F44" s="19"/>
      <c r="G44" s="19">
        <f>SUM(G6:G43)</f>
        <v>341899</v>
      </c>
      <c r="H44" s="23"/>
      <c r="I44" s="2"/>
      <c r="J44" s="2"/>
      <c r="K44" s="2"/>
    </row>
    <row r="45" ht="28.5" customHeight="1" spans="1:11">
      <c r="A45" s="13"/>
      <c r="B45" s="24"/>
      <c r="C45" s="8"/>
      <c r="D45" s="12"/>
      <c r="E45" s="13"/>
      <c r="F45" s="25"/>
      <c r="G45" s="13"/>
      <c r="H45" s="25"/>
      <c r="I45" s="2"/>
      <c r="J45" s="2"/>
      <c r="K45" s="2"/>
    </row>
    <row r="46" ht="28.5" customHeight="1" spans="1:11">
      <c r="A46" s="6"/>
      <c r="B46" s="7"/>
      <c r="C46" s="8"/>
      <c r="D46" s="12"/>
      <c r="E46" s="13"/>
      <c r="F46" s="25"/>
      <c r="G46" s="6"/>
      <c r="H46" s="10"/>
      <c r="I46" s="2"/>
      <c r="J46" s="2"/>
      <c r="K46" s="2"/>
    </row>
    <row r="47" ht="28.5" customHeight="1" spans="1:11">
      <c r="A47" s="6"/>
      <c r="B47" s="24" t="s">
        <v>348</v>
      </c>
      <c r="C47" s="24"/>
      <c r="D47" s="24"/>
      <c r="E47" s="13"/>
      <c r="F47" s="25"/>
      <c r="G47" s="24"/>
      <c r="H47" s="24"/>
      <c r="I47" s="2"/>
      <c r="J47" s="2"/>
      <c r="K47" s="2"/>
    </row>
    <row r="48" ht="28.5" customHeight="1" spans="1:11">
      <c r="A48" s="2"/>
      <c r="B48" s="26"/>
      <c r="C48" s="27"/>
      <c r="D48" s="28"/>
      <c r="E48" s="2"/>
      <c r="F48" s="10"/>
      <c r="G48" s="2"/>
      <c r="H48" s="10"/>
      <c r="I48" s="2"/>
      <c r="J48" s="2"/>
      <c r="K48" s="2"/>
    </row>
    <row r="49" ht="28.5" customHeight="1" spans="1:11">
      <c r="A49" s="2"/>
      <c r="B49" s="26"/>
      <c r="C49" s="27"/>
      <c r="D49" s="28"/>
      <c r="E49" s="2"/>
      <c r="F49" s="10"/>
      <c r="G49" s="2"/>
      <c r="H49" s="10"/>
      <c r="I49" s="2"/>
      <c r="J49" s="2"/>
      <c r="K49" s="2"/>
    </row>
    <row r="50" ht="28.5" customHeight="1" spans="1:11">
      <c r="A50" s="2"/>
      <c r="B50" s="26"/>
      <c r="C50" s="27"/>
      <c r="D50" s="28"/>
      <c r="E50" s="2"/>
      <c r="F50" s="10"/>
      <c r="G50" s="6"/>
      <c r="H50" s="10"/>
      <c r="I50" s="2"/>
      <c r="J50" s="2"/>
      <c r="K50" s="2"/>
    </row>
    <row r="51" ht="28.5" customHeight="1" spans="1:11">
      <c r="A51" s="2"/>
      <c r="B51" s="26"/>
      <c r="C51" s="27"/>
      <c r="D51" s="28"/>
      <c r="E51" s="2"/>
      <c r="F51" s="10"/>
      <c r="G51" s="2"/>
      <c r="H51" s="10"/>
      <c r="I51" s="2"/>
      <c r="J51" s="2"/>
      <c r="K51" s="2"/>
    </row>
    <row r="52" ht="28.5" customHeight="1" spans="1:11">
      <c r="A52" s="2"/>
      <c r="B52" s="26"/>
      <c r="C52" s="27"/>
      <c r="D52" s="28"/>
      <c r="E52" s="2"/>
      <c r="F52" s="10"/>
      <c r="G52" s="2"/>
      <c r="H52" s="10"/>
      <c r="I52" s="2"/>
      <c r="J52" s="2"/>
      <c r="K52" s="2"/>
    </row>
    <row r="53" ht="28.5" customHeight="1" spans="1:11">
      <c r="A53" s="2"/>
      <c r="B53" s="26"/>
      <c r="C53" s="27"/>
      <c r="D53" s="28"/>
      <c r="E53" s="2"/>
      <c r="F53" s="10"/>
      <c r="G53" s="2"/>
      <c r="H53" s="10"/>
      <c r="I53" s="2"/>
      <c r="J53" s="2"/>
      <c r="K53" s="2"/>
    </row>
    <row r="54" ht="28.5" customHeight="1" spans="1:11">
      <c r="A54" s="2"/>
      <c r="B54" s="26"/>
      <c r="C54" s="27"/>
      <c r="D54" s="28"/>
      <c r="E54" s="2"/>
      <c r="F54" s="10"/>
      <c r="G54" s="2"/>
      <c r="H54" s="10"/>
      <c r="I54" s="2"/>
      <c r="J54" s="2"/>
      <c r="K54" s="2"/>
    </row>
    <row r="55" ht="28.5" customHeight="1" spans="1:11">
      <c r="A55" s="2"/>
      <c r="B55" s="26"/>
      <c r="C55" s="27"/>
      <c r="D55" s="28"/>
      <c r="E55" s="2"/>
      <c r="F55" s="10"/>
      <c r="G55" s="2"/>
      <c r="H55" s="10"/>
      <c r="I55" s="2"/>
      <c r="J55" s="2"/>
      <c r="K55" s="2"/>
    </row>
    <row r="56" ht="28.5" customHeight="1" spans="1:11">
      <c r="A56" s="2"/>
      <c r="B56" s="26"/>
      <c r="C56" s="27"/>
      <c r="D56" s="28"/>
      <c r="E56" s="2"/>
      <c r="F56" s="10"/>
      <c r="G56" s="2"/>
      <c r="H56" s="10"/>
      <c r="I56" s="2"/>
      <c r="J56" s="2"/>
      <c r="K56" s="2"/>
    </row>
    <row r="57" ht="28.5" customHeight="1" spans="1:11">
      <c r="A57" s="2"/>
      <c r="B57" s="26"/>
      <c r="C57" s="27"/>
      <c r="D57" s="28"/>
      <c r="E57" s="2"/>
      <c r="F57" s="10"/>
      <c r="G57" s="2"/>
      <c r="H57" s="10"/>
      <c r="I57" s="2"/>
      <c r="J57" s="2"/>
      <c r="K57" s="2"/>
    </row>
    <row r="58" ht="28.5" customHeight="1" spans="1:11">
      <c r="A58" s="2"/>
      <c r="B58" s="26"/>
      <c r="C58" s="27"/>
      <c r="D58" s="28"/>
      <c r="E58" s="2"/>
      <c r="F58" s="10"/>
      <c r="G58" s="2"/>
      <c r="H58" s="10"/>
      <c r="I58" s="2"/>
      <c r="J58" s="2"/>
      <c r="K58" s="2"/>
    </row>
    <row r="59" ht="28.5" customHeight="1" spans="1:11">
      <c r="A59" s="2"/>
      <c r="B59" s="26"/>
      <c r="C59" s="27"/>
      <c r="D59" s="28"/>
      <c r="E59" s="2"/>
      <c r="F59" s="10"/>
      <c r="G59" s="2"/>
      <c r="H59" s="10"/>
      <c r="I59" s="2"/>
      <c r="J59" s="2"/>
      <c r="K59" s="2"/>
    </row>
    <row r="60" ht="28.5" customHeight="1" spans="1:11">
      <c r="A60" s="2"/>
      <c r="B60" s="26"/>
      <c r="C60" s="27"/>
      <c r="D60" s="28"/>
      <c r="E60" s="2"/>
      <c r="F60" s="10"/>
      <c r="G60" s="2"/>
      <c r="H60" s="10"/>
      <c r="I60" s="2"/>
      <c r="J60" s="2"/>
      <c r="K60" s="2"/>
    </row>
    <row r="61" ht="28.5" customHeight="1" spans="1:11">
      <c r="A61" s="2"/>
      <c r="B61" s="26"/>
      <c r="C61" s="27"/>
      <c r="D61" s="28"/>
      <c r="E61" s="2"/>
      <c r="F61" s="10"/>
      <c r="G61" s="2"/>
      <c r="H61" s="10"/>
      <c r="I61" s="2"/>
      <c r="J61" s="2"/>
      <c r="K61" s="2"/>
    </row>
    <row r="62" ht="28.5" customHeight="1" spans="1:11">
      <c r="A62" s="2"/>
      <c r="B62" s="26"/>
      <c r="C62" s="27"/>
      <c r="D62" s="28"/>
      <c r="E62" s="2"/>
      <c r="F62" s="10"/>
      <c r="G62" s="2"/>
      <c r="H62" s="10"/>
      <c r="I62" s="2"/>
      <c r="J62" s="2"/>
      <c r="K62" s="2"/>
    </row>
    <row r="63" ht="28.5" customHeight="1" spans="1:11">
      <c r="A63" s="2"/>
      <c r="B63" s="26"/>
      <c r="C63" s="27"/>
      <c r="D63" s="28"/>
      <c r="E63" s="2"/>
      <c r="F63" s="10"/>
      <c r="G63" s="2"/>
      <c r="H63" s="10"/>
      <c r="I63" s="2"/>
      <c r="J63" s="2"/>
      <c r="K63" s="2"/>
    </row>
    <row r="64" ht="28.5" customHeight="1" spans="1:11">
      <c r="A64" s="2"/>
      <c r="B64" s="26"/>
      <c r="C64" s="27"/>
      <c r="D64" s="28"/>
      <c r="E64" s="2"/>
      <c r="F64" s="10"/>
      <c r="G64" s="2"/>
      <c r="H64" s="10"/>
      <c r="I64" s="2"/>
      <c r="J64" s="2"/>
      <c r="K64" s="2"/>
    </row>
    <row r="65" ht="28.5" customHeight="1" spans="1:11">
      <c r="A65" s="2"/>
      <c r="B65" s="26"/>
      <c r="C65" s="27"/>
      <c r="D65" s="28"/>
      <c r="E65" s="2"/>
      <c r="F65" s="10"/>
      <c r="G65" s="2"/>
      <c r="H65" s="10"/>
      <c r="I65" s="2"/>
      <c r="J65" s="2"/>
      <c r="K65" s="2"/>
    </row>
    <row r="66" ht="28.5" customHeight="1" spans="1:11">
      <c r="A66" s="2"/>
      <c r="B66" s="26"/>
      <c r="C66" s="27"/>
      <c r="D66" s="28"/>
      <c r="E66" s="2"/>
      <c r="F66" s="10"/>
      <c r="G66" s="2"/>
      <c r="H66" s="10"/>
      <c r="I66" s="2"/>
      <c r="J66" s="2"/>
      <c r="K66" s="2"/>
    </row>
    <row r="67" ht="28.5" customHeight="1" spans="1:11">
      <c r="A67" s="2"/>
      <c r="B67" s="26"/>
      <c r="C67" s="27"/>
      <c r="D67" s="28"/>
      <c r="E67" s="2"/>
      <c r="F67" s="10"/>
      <c r="G67" s="2"/>
      <c r="H67" s="10"/>
      <c r="I67" s="2"/>
      <c r="J67" s="2"/>
      <c r="K67" s="2"/>
    </row>
    <row r="68" ht="28.5" customHeight="1" spans="1:11">
      <c r="A68" s="2"/>
      <c r="B68" s="26"/>
      <c r="C68" s="27"/>
      <c r="D68" s="28"/>
      <c r="E68" s="2"/>
      <c r="F68" s="10"/>
      <c r="G68" s="2"/>
      <c r="H68" s="10"/>
      <c r="I68" s="2"/>
      <c r="J68" s="2"/>
      <c r="K68" s="2"/>
    </row>
    <row r="69" ht="28.5" customHeight="1" spans="1:11">
      <c r="A69" s="2"/>
      <c r="B69" s="26"/>
      <c r="C69" s="27"/>
      <c r="D69" s="28"/>
      <c r="E69" s="2"/>
      <c r="F69" s="10"/>
      <c r="G69" s="2"/>
      <c r="H69" s="10"/>
      <c r="I69" s="2"/>
      <c r="J69" s="2"/>
      <c r="K69" s="2"/>
    </row>
    <row r="70" ht="28.5" customHeight="1" spans="1:11">
      <c r="A70" s="2"/>
      <c r="B70" s="26"/>
      <c r="C70" s="27"/>
      <c r="D70" s="28"/>
      <c r="E70" s="2"/>
      <c r="F70" s="10"/>
      <c r="G70" s="2"/>
      <c r="H70" s="10"/>
      <c r="I70" s="2"/>
      <c r="J70" s="2"/>
      <c r="K70" s="2"/>
    </row>
    <row r="71" ht="28.5" customHeight="1" spans="1:11">
      <c r="A71" s="2"/>
      <c r="B71" s="26"/>
      <c r="C71" s="27"/>
      <c r="D71" s="28"/>
      <c r="E71" s="2"/>
      <c r="F71" s="10"/>
      <c r="G71" s="2"/>
      <c r="H71" s="10"/>
      <c r="I71" s="2"/>
      <c r="J71" s="2"/>
      <c r="K71" s="2"/>
    </row>
    <row r="72" ht="28.5" customHeight="1" spans="1:11">
      <c r="A72" s="2"/>
      <c r="B72" s="26"/>
      <c r="C72" s="27"/>
      <c r="D72" s="28"/>
      <c r="E72" s="2"/>
      <c r="F72" s="10"/>
      <c r="G72" s="2"/>
      <c r="H72" s="10"/>
      <c r="I72" s="2"/>
      <c r="J72" s="2"/>
      <c r="K72" s="2"/>
    </row>
    <row r="73" ht="28.5" customHeight="1" spans="1:11">
      <c r="A73" s="2"/>
      <c r="B73" s="26"/>
      <c r="C73" s="27"/>
      <c r="D73" s="28"/>
      <c r="E73" s="2"/>
      <c r="F73" s="10"/>
      <c r="G73" s="2"/>
      <c r="H73" s="10"/>
      <c r="I73" s="2"/>
      <c r="J73" s="2"/>
      <c r="K73" s="2"/>
    </row>
    <row r="74" ht="28.5" customHeight="1" spans="1:11">
      <c r="A74" s="2"/>
      <c r="B74" s="26"/>
      <c r="C74" s="27"/>
      <c r="D74" s="28"/>
      <c r="E74" s="2"/>
      <c r="F74" s="10"/>
      <c r="G74" s="2"/>
      <c r="H74" s="10"/>
      <c r="I74" s="2"/>
      <c r="J74" s="2"/>
      <c r="K74" s="2"/>
    </row>
    <row r="75" ht="28.5" customHeight="1" spans="1:11">
      <c r="A75" s="2"/>
      <c r="B75" s="26"/>
      <c r="C75" s="27"/>
      <c r="D75" s="28"/>
      <c r="E75" s="2"/>
      <c r="F75" s="10"/>
      <c r="G75" s="2"/>
      <c r="H75" s="10"/>
      <c r="I75" s="2"/>
      <c r="J75" s="2"/>
      <c r="K75" s="2"/>
    </row>
    <row r="76" ht="28.5" customHeight="1" spans="1:11">
      <c r="A76" s="2"/>
      <c r="B76" s="26"/>
      <c r="C76" s="27"/>
      <c r="D76" s="28"/>
      <c r="E76" s="2"/>
      <c r="F76" s="10"/>
      <c r="G76" s="2"/>
      <c r="H76" s="10"/>
      <c r="I76" s="2"/>
      <c r="J76" s="2"/>
      <c r="K76" s="2"/>
    </row>
    <row r="77" ht="28.5" customHeight="1" spans="1:11">
      <c r="A77" s="2"/>
      <c r="B77" s="26"/>
      <c r="C77" s="27"/>
      <c r="D77" s="28"/>
      <c r="E77" s="2"/>
      <c r="F77" s="10"/>
      <c r="G77" s="2"/>
      <c r="H77" s="10"/>
      <c r="I77" s="2"/>
      <c r="J77" s="2"/>
      <c r="K77" s="2"/>
    </row>
    <row r="78" ht="28.5" customHeight="1" spans="1:11">
      <c r="A78" s="2"/>
      <c r="B78" s="26"/>
      <c r="C78" s="27"/>
      <c r="D78" s="28"/>
      <c r="E78" s="2"/>
      <c r="F78" s="10"/>
      <c r="G78" s="2"/>
      <c r="H78" s="10"/>
      <c r="I78" s="2"/>
      <c r="J78" s="2"/>
      <c r="K78" s="2"/>
    </row>
    <row r="79" ht="28.5" customHeight="1" spans="1:11">
      <c r="A79" s="2"/>
      <c r="B79" s="26"/>
      <c r="C79" s="27"/>
      <c r="D79" s="28"/>
      <c r="E79" s="2"/>
      <c r="F79" s="10"/>
      <c r="G79" s="2"/>
      <c r="H79" s="10"/>
      <c r="I79" s="2"/>
      <c r="J79" s="2"/>
      <c r="K79" s="2"/>
    </row>
    <row r="80" ht="28.5" customHeight="1" spans="1:11">
      <c r="A80" s="2"/>
      <c r="B80" s="26"/>
      <c r="C80" s="27"/>
      <c r="D80" s="28"/>
      <c r="E80" s="2"/>
      <c r="F80" s="10"/>
      <c r="G80" s="2"/>
      <c r="H80" s="10"/>
      <c r="I80" s="2"/>
      <c r="J80" s="2"/>
      <c r="K80" s="2"/>
    </row>
    <row r="81" ht="28.5" customHeight="1" spans="1:11">
      <c r="A81" s="2"/>
      <c r="B81" s="26"/>
      <c r="C81" s="27"/>
      <c r="D81" s="28"/>
      <c r="E81" s="2"/>
      <c r="F81" s="10"/>
      <c r="G81" s="2"/>
      <c r="H81" s="10"/>
      <c r="I81" s="2"/>
      <c r="J81" s="2"/>
      <c r="K81" s="2"/>
    </row>
    <row r="82" ht="28.5" customHeight="1" spans="1:11">
      <c r="A82" s="2"/>
      <c r="B82" s="26"/>
      <c r="C82" s="27"/>
      <c r="D82" s="28"/>
      <c r="E82" s="2"/>
      <c r="F82" s="10"/>
      <c r="G82" s="2"/>
      <c r="H82" s="10"/>
      <c r="I82" s="2"/>
      <c r="J82" s="2"/>
      <c r="K82" s="2"/>
    </row>
    <row r="83" ht="28.5" customHeight="1" spans="1:11">
      <c r="A83" s="2"/>
      <c r="B83" s="26"/>
      <c r="C83" s="27"/>
      <c r="D83" s="28"/>
      <c r="E83" s="2"/>
      <c r="F83" s="10"/>
      <c r="G83" s="2"/>
      <c r="H83" s="10"/>
      <c r="I83" s="2"/>
      <c r="J83" s="2"/>
      <c r="K83" s="2"/>
    </row>
    <row r="84" ht="28.5" customHeight="1" spans="1:11">
      <c r="A84" s="2"/>
      <c r="B84" s="26"/>
      <c r="C84" s="27"/>
      <c r="D84" s="28"/>
      <c r="E84" s="2"/>
      <c r="F84" s="10"/>
      <c r="G84" s="2"/>
      <c r="H84" s="10"/>
      <c r="I84" s="2"/>
      <c r="J84" s="2"/>
      <c r="K84" s="2"/>
    </row>
    <row r="85" ht="28.5" customHeight="1" spans="1:11">
      <c r="A85" s="2"/>
      <c r="B85" s="26"/>
      <c r="C85" s="27"/>
      <c r="D85" s="28"/>
      <c r="E85" s="2"/>
      <c r="F85" s="10"/>
      <c r="G85" s="2"/>
      <c r="H85" s="10"/>
      <c r="I85" s="2"/>
      <c r="J85" s="2"/>
      <c r="K85" s="2"/>
    </row>
    <row r="86" ht="28.5" customHeight="1" spans="1:11">
      <c r="A86" s="2"/>
      <c r="B86" s="26"/>
      <c r="C86" s="27"/>
      <c r="D86" s="28"/>
      <c r="E86" s="2"/>
      <c r="F86" s="10"/>
      <c r="G86" s="2"/>
      <c r="H86" s="10"/>
      <c r="I86" s="2"/>
      <c r="J86" s="2"/>
      <c r="K86" s="2"/>
    </row>
    <row r="87" ht="28.5" customHeight="1" spans="1:11">
      <c r="A87" s="2"/>
      <c r="B87" s="26"/>
      <c r="C87" s="27"/>
      <c r="D87" s="28"/>
      <c r="E87" s="2"/>
      <c r="F87" s="10"/>
      <c r="G87" s="2"/>
      <c r="H87" s="10"/>
      <c r="I87" s="2"/>
      <c r="J87" s="2"/>
      <c r="K87" s="2"/>
    </row>
    <row r="88" ht="28.5" customHeight="1" spans="1:11">
      <c r="A88" s="2"/>
      <c r="B88" s="26"/>
      <c r="C88" s="27"/>
      <c r="D88" s="28"/>
      <c r="E88" s="2"/>
      <c r="F88" s="10"/>
      <c r="G88" s="2"/>
      <c r="H88" s="10"/>
      <c r="I88" s="2"/>
      <c r="J88" s="2"/>
      <c r="K88" s="2"/>
    </row>
    <row r="89" ht="28.5" customHeight="1" spans="1:11">
      <c r="A89" s="2"/>
      <c r="B89" s="26"/>
      <c r="C89" s="27"/>
      <c r="D89" s="28"/>
      <c r="E89" s="2"/>
      <c r="F89" s="10"/>
      <c r="G89" s="2"/>
      <c r="H89" s="10"/>
      <c r="I89" s="2"/>
      <c r="J89" s="2"/>
      <c r="K89" s="2"/>
    </row>
    <row r="90" ht="28.5" customHeight="1" spans="1:11">
      <c r="A90" s="2"/>
      <c r="B90" s="26"/>
      <c r="C90" s="27"/>
      <c r="D90" s="28"/>
      <c r="E90" s="2"/>
      <c r="F90" s="10"/>
      <c r="G90" s="2"/>
      <c r="H90" s="10"/>
      <c r="I90" s="2"/>
      <c r="J90" s="2"/>
      <c r="K90" s="2"/>
    </row>
    <row r="91" ht="28.5" customHeight="1" spans="1:11">
      <c r="A91" s="2"/>
      <c r="B91" s="26"/>
      <c r="C91" s="27"/>
      <c r="D91" s="28"/>
      <c r="E91" s="2"/>
      <c r="F91" s="10"/>
      <c r="G91" s="2"/>
      <c r="H91" s="10"/>
      <c r="I91" s="2"/>
      <c r="J91" s="2"/>
      <c r="K91" s="2"/>
    </row>
    <row r="92" ht="28.5" customHeight="1" spans="1:11">
      <c r="A92" s="2"/>
      <c r="B92" s="26"/>
      <c r="C92" s="27"/>
      <c r="D92" s="28"/>
      <c r="E92" s="2"/>
      <c r="F92" s="10"/>
      <c r="G92" s="2"/>
      <c r="H92" s="10"/>
      <c r="I92" s="2"/>
      <c r="J92" s="2"/>
      <c r="K92" s="2"/>
    </row>
    <row r="93" ht="28.5" customHeight="1" spans="1:11">
      <c r="A93" s="2"/>
      <c r="B93" s="26"/>
      <c r="C93" s="27"/>
      <c r="D93" s="28"/>
      <c r="E93" s="2"/>
      <c r="F93" s="10"/>
      <c r="G93" s="2"/>
      <c r="H93" s="10"/>
      <c r="I93" s="2"/>
      <c r="J93" s="2"/>
      <c r="K93" s="2"/>
    </row>
    <row r="94" ht="28.5" customHeight="1" spans="1:11">
      <c r="A94" s="2"/>
      <c r="B94" s="26"/>
      <c r="C94" s="27"/>
      <c r="D94" s="28"/>
      <c r="E94" s="2"/>
      <c r="F94" s="10"/>
      <c r="G94" s="2"/>
      <c r="H94" s="10"/>
      <c r="I94" s="2"/>
      <c r="J94" s="2"/>
      <c r="K94" s="2"/>
    </row>
    <row r="95" ht="28.5" customHeight="1" spans="1:11">
      <c r="A95" s="2"/>
      <c r="B95" s="26"/>
      <c r="C95" s="27"/>
      <c r="D95" s="28"/>
      <c r="E95" s="2"/>
      <c r="F95" s="10"/>
      <c r="G95" s="2"/>
      <c r="H95" s="10"/>
      <c r="I95" s="2"/>
      <c r="J95" s="2"/>
      <c r="K95" s="2"/>
    </row>
    <row r="96" ht="28.5" customHeight="1" spans="1:11">
      <c r="A96" s="2"/>
      <c r="B96" s="26"/>
      <c r="C96" s="27"/>
      <c r="D96" s="28"/>
      <c r="E96" s="2"/>
      <c r="F96" s="10"/>
      <c r="G96" s="2"/>
      <c r="H96" s="10"/>
      <c r="I96" s="2"/>
      <c r="J96" s="2"/>
      <c r="K96" s="2"/>
    </row>
    <row r="97" ht="28.5" customHeight="1" spans="1:11">
      <c r="A97" s="2"/>
      <c r="B97" s="26"/>
      <c r="C97" s="27"/>
      <c r="D97" s="28"/>
      <c r="E97" s="2"/>
      <c r="F97" s="10"/>
      <c r="G97" s="2"/>
      <c r="H97" s="10"/>
      <c r="I97" s="2"/>
      <c r="J97" s="2"/>
      <c r="K97" s="2"/>
    </row>
    <row r="98" ht="28.5" customHeight="1" spans="1:11">
      <c r="A98" s="2"/>
      <c r="B98" s="26"/>
      <c r="C98" s="27"/>
      <c r="D98" s="28"/>
      <c r="E98" s="2"/>
      <c r="F98" s="10"/>
      <c r="G98" s="2"/>
      <c r="H98" s="10"/>
      <c r="I98" s="2"/>
      <c r="J98" s="2"/>
      <c r="K98" s="2"/>
    </row>
    <row r="99" ht="28.5" customHeight="1" spans="1:11">
      <c r="A99" s="2"/>
      <c r="B99" s="26"/>
      <c r="C99" s="27"/>
      <c r="D99" s="28"/>
      <c r="E99" s="2"/>
      <c r="F99" s="10"/>
      <c r="G99" s="2"/>
      <c r="H99" s="10"/>
      <c r="I99" s="2"/>
      <c r="J99" s="2"/>
      <c r="K99" s="2"/>
    </row>
    <row r="100" ht="28.5" customHeight="1" spans="1:11">
      <c r="A100" s="2"/>
      <c r="B100" s="26"/>
      <c r="C100" s="27"/>
      <c r="D100" s="28"/>
      <c r="E100" s="2"/>
      <c r="F100" s="10"/>
      <c r="G100" s="2"/>
      <c r="H100" s="10"/>
      <c r="I100" s="2"/>
      <c r="J100" s="2"/>
      <c r="K100" s="2"/>
    </row>
  </sheetData>
  <mergeCells count="2">
    <mergeCell ref="A1:H1"/>
    <mergeCell ref="A2:H2"/>
  </mergeCells>
  <printOptions horizontalCentered="1" gridLines="1"/>
  <pageMargins left="0" right="0" top="0.196850393700787" bottom="0.196850393700787" header="0" footer="0"/>
  <pageSetup paperSize="5" scale="6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Security</vt:lpstr>
      <vt:lpstr> Attender</vt:lpstr>
      <vt:lpstr>Garden Staff</vt:lpstr>
      <vt:lpstr>Transport</vt:lpstr>
      <vt:lpstr>HK -Other Bank</vt:lpstr>
      <vt:lpstr> Attender   &amp; Transport (2)</vt:lpstr>
      <vt:lpstr>Sheet3</vt:lpstr>
      <vt:lpstr>HK PNB</vt:lpstr>
      <vt:lpstr>SECURITY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swath</cp:lastModifiedBy>
  <dcterms:created xsi:type="dcterms:W3CDTF">2006-09-16T00:00:00Z</dcterms:created>
  <cp:lastPrinted>2026-07-14T09:29:00Z</cp:lastPrinted>
  <dcterms:modified xsi:type="dcterms:W3CDTF">2026-08-12T06:44:55Z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4532C3C5C2D74766B134727626EE20E8_12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