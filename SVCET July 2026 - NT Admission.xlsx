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dmission" sheetId="1" r:id="rId1"/>
    <sheet name="Teaching (2)" sheetId="2" state="hidden" r:id="rId2"/>
    <sheet name="Teaching (5)" sheetId="3" state="hidden" r:id="rId3"/>
    <sheet name="Teaching (3)" sheetId="4" state="hidden" r:id="rId4"/>
    <sheet name="Teaching (4)" sheetId="5" state="hidden" r:id="rId5"/>
  </sheets>
  <definedNames>
    <definedName name="_xlnm._FilterDatabase" localSheetId="1" hidden="1">'Teaching (2)'!$A$1:$F$160</definedName>
    <definedName name="_xlnm._FilterDatabase" localSheetId="2" hidden="1">'Teaching (5)'!$A$1:$F$136</definedName>
    <definedName name="_xlnm._FilterDatabase" localSheetId="3" hidden="1">'Teaching (3)'!$A$1:$F$16</definedName>
    <definedName name="_xlnm._FilterDatabase" localSheetId="4" hidden="1">'Teaching (4)'!$A$1:$F$15</definedName>
    <definedName name="_xlnm._FilterDatabase" localSheetId="0" hidden="1">Admission!$X$1:$X$35</definedName>
    <definedName name="_xlnm.Print_Titles" localSheetId="0">Admission!$3:$3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<sst xmlns="http://schemas.openxmlformats.org/spreadsheetml/2006/main" count="1093" uniqueCount="422">
  <si>
    <t>Sri Venkateswara College of Engineering and Technology</t>
  </si>
  <si>
    <t>Non Teaching (Admission) - Salary Bill for the Month of July 2026</t>
  </si>
  <si>
    <t>Sl. No.</t>
  </si>
  <si>
    <t>Name of the Staff</t>
  </si>
  <si>
    <t>Designation</t>
  </si>
  <si>
    <t>Total
Salary</t>
  </si>
  <si>
    <t>Consolidated salary</t>
  </si>
  <si>
    <t>Basic</t>
  </si>
  <si>
    <t>AGP</t>
  </si>
  <si>
    <t>Total</t>
  </si>
  <si>
    <t>No of
Days</t>
  </si>
  <si>
    <t>Basic
+ AGP</t>
  </si>
  <si>
    <t>DA</t>
  </si>
  <si>
    <t>HRA</t>
  </si>
  <si>
    <t>Arrears</t>
  </si>
  <si>
    <t>FA</t>
  </si>
  <si>
    <t>TA/SP</t>
  </si>
  <si>
    <t>Gross
Total</t>
  </si>
  <si>
    <t>EPF</t>
  </si>
  <si>
    <t>IT</t>
  </si>
  <si>
    <t>PT</t>
  </si>
  <si>
    <t>WF</t>
  </si>
  <si>
    <t>Cell</t>
  </si>
  <si>
    <t>EB</t>
  </si>
  <si>
    <t>Mess</t>
  </si>
  <si>
    <t>Bus/ others</t>
  </si>
  <si>
    <t>Tot Ded</t>
  </si>
  <si>
    <t>Net
Salary</t>
  </si>
  <si>
    <t>PNB Account
Number</t>
  </si>
  <si>
    <t>IFSC CODE</t>
  </si>
  <si>
    <t>NON-TEACHING STAFF</t>
  </si>
  <si>
    <t>Admission</t>
  </si>
  <si>
    <t>G. Surya Reddy</t>
  </si>
  <si>
    <t>Manager</t>
  </si>
  <si>
    <t>3638108000004</t>
  </si>
  <si>
    <t>CNRB0003638</t>
  </si>
  <si>
    <t>K. Koushik</t>
  </si>
  <si>
    <t>Team Lead</t>
  </si>
  <si>
    <t>32766898878</t>
  </si>
  <si>
    <t>SBIN0013176</t>
  </si>
  <si>
    <t>R. Pavithra</t>
  </si>
  <si>
    <t>Admission Manager</t>
  </si>
  <si>
    <t>359602120001028</t>
  </si>
  <si>
    <t>UBIN0535966</t>
  </si>
  <si>
    <t>B. Hemadri</t>
  </si>
  <si>
    <t>Admission Officer</t>
  </si>
  <si>
    <t>10859868181</t>
  </si>
  <si>
    <t>SBIN0000825</t>
  </si>
  <si>
    <t>M. Balaji</t>
  </si>
  <si>
    <t>34193690001</t>
  </si>
  <si>
    <t>SBIN0002773</t>
  </si>
  <si>
    <t>L. Roopa</t>
  </si>
  <si>
    <t>Academic Counsellor</t>
  </si>
  <si>
    <t>30601024663</t>
  </si>
  <si>
    <t>SBIN0006515</t>
  </si>
  <si>
    <t>DOJ: 02.07.2026</t>
  </si>
  <si>
    <t>B Nandini</t>
  </si>
  <si>
    <t>3735101004804</t>
  </si>
  <si>
    <t>CNRB0003735</t>
  </si>
  <si>
    <t xml:space="preserve">G Bhanu Kumari </t>
  </si>
  <si>
    <t>229310100004492</t>
  </si>
  <si>
    <t>UBIN08222931</t>
  </si>
  <si>
    <t>P Leelavathi</t>
  </si>
  <si>
    <t>110243575942</t>
  </si>
  <si>
    <t>CNRB0000852</t>
  </si>
  <si>
    <t>K. Nithya</t>
  </si>
  <si>
    <t>20356896896</t>
  </si>
  <si>
    <t>B Chaithanya</t>
  </si>
  <si>
    <t>0852108031525</t>
  </si>
  <si>
    <t>B. Ashok Kumar</t>
  </si>
  <si>
    <t>K. SONI</t>
  </si>
  <si>
    <t>Tele Callers</t>
  </si>
  <si>
    <t>SBIN0016528</t>
  </si>
  <si>
    <t>N. Ramya</t>
  </si>
  <si>
    <t>025422010001536</t>
  </si>
  <si>
    <t>UBIN0902543</t>
  </si>
  <si>
    <t>R. Sharmila</t>
  </si>
  <si>
    <t>A. Asha</t>
  </si>
  <si>
    <t>UBIN0CG7999</t>
  </si>
  <si>
    <t>V. Chandrika</t>
  </si>
  <si>
    <t>SBIN0016483</t>
  </si>
  <si>
    <t>B. Chandupriya</t>
  </si>
  <si>
    <t>SBIN0001901</t>
  </si>
  <si>
    <t>B. Lakshmi</t>
  </si>
  <si>
    <t>IDIB000C026</t>
  </si>
  <si>
    <t>K. Yamini</t>
  </si>
  <si>
    <t>116601508218</t>
  </si>
  <si>
    <t>ICIC0001166</t>
  </si>
  <si>
    <t>Grand Total</t>
  </si>
  <si>
    <t>Prepared By</t>
  </si>
  <si>
    <t>Verified By</t>
  </si>
  <si>
    <t xml:space="preserve">    HR</t>
  </si>
  <si>
    <t>AO</t>
  </si>
  <si>
    <t>Accounts Officer</t>
  </si>
  <si>
    <t>Principal</t>
  </si>
  <si>
    <t>Vice Chairman</t>
  </si>
  <si>
    <t>Sri Venkateswara College Of Engineering and Technology</t>
  </si>
  <si>
    <t>Salary Bill for the Month of May 2021</t>
  </si>
  <si>
    <t>S No</t>
  </si>
  <si>
    <t>TEACHING STAFF</t>
  </si>
  <si>
    <t>Dr. M Mohan Babu</t>
  </si>
  <si>
    <t>4017000402717199</t>
  </si>
  <si>
    <t>Dr.B.Damodhara Reddy</t>
  </si>
  <si>
    <t>Assoc.Prof</t>
  </si>
  <si>
    <t>4017000402714457</t>
  </si>
  <si>
    <t xml:space="preserve">V Giridhar Kumar </t>
  </si>
  <si>
    <t>4017000402728788</t>
  </si>
  <si>
    <t>B.Raja Sekhar</t>
  </si>
  <si>
    <t>Asst.Prof</t>
  </si>
  <si>
    <t>4017000402717719</t>
  </si>
  <si>
    <t>N.Kiran Kumar</t>
  </si>
  <si>
    <t>4017000402716181</t>
  </si>
  <si>
    <t>R.Anil Kumar</t>
  </si>
  <si>
    <t>4017000402717108</t>
  </si>
  <si>
    <t>V Siva Kumar</t>
  </si>
  <si>
    <t>4017000402729006</t>
  </si>
  <si>
    <t>K Hemanth Kumar</t>
  </si>
  <si>
    <t>4017000102779712</t>
  </si>
  <si>
    <t>Salvator Lawence</t>
  </si>
  <si>
    <t>20300030401</t>
  </si>
  <si>
    <t>Senthamizh Selvan</t>
  </si>
  <si>
    <t>574485388</t>
  </si>
  <si>
    <t>Priscillah</t>
  </si>
  <si>
    <t>50100195084174</t>
  </si>
  <si>
    <t xml:space="preserve">Dr S Ranjith </t>
  </si>
  <si>
    <t>620343986</t>
  </si>
  <si>
    <t>Dr Y.N.Vijaya Kumar</t>
  </si>
  <si>
    <t>Prof&amp; HOD</t>
  </si>
  <si>
    <t>4017000402713935</t>
  </si>
  <si>
    <t>S.Senthil</t>
  </si>
  <si>
    <t>4017000402714077</t>
  </si>
  <si>
    <t>Dr P Monica</t>
  </si>
  <si>
    <t>4017000102779794</t>
  </si>
  <si>
    <t>Dr Yatindra Gopal</t>
  </si>
  <si>
    <t>P.R.Murali Mohan</t>
  </si>
  <si>
    <t>4017000402715386</t>
  </si>
  <si>
    <t>C  Vimal Raj</t>
  </si>
  <si>
    <t>4017000402728751</t>
  </si>
  <si>
    <t>G.Balasundaram</t>
  </si>
  <si>
    <t>4017000402715702</t>
  </si>
  <si>
    <t>G.Venkata Pradeep</t>
  </si>
  <si>
    <t>4017000402717135</t>
  </si>
  <si>
    <t>Jaya Chandra Panigrahi</t>
  </si>
  <si>
    <t>4017000102780736</t>
  </si>
  <si>
    <t>Sabarinath G</t>
  </si>
  <si>
    <t>4017000102778971</t>
  </si>
  <si>
    <t>Narmada</t>
  </si>
  <si>
    <t>32076912241</t>
  </si>
  <si>
    <t>P Dinesh Kumar</t>
  </si>
  <si>
    <t>4017000102781106</t>
  </si>
  <si>
    <t>G.Devanatha Reddy</t>
  </si>
  <si>
    <t>4017000402717180</t>
  </si>
  <si>
    <t>Dr.C.Vijaya Bhaskar Reddy</t>
  </si>
  <si>
    <t xml:space="preserve">Professor &amp; Vice Principal
</t>
  </si>
  <si>
    <t>4017000102764260</t>
  </si>
  <si>
    <t>V Harinadh</t>
  </si>
  <si>
    <t>Assco.Prof  HOD</t>
  </si>
  <si>
    <t>4017000402728724</t>
  </si>
  <si>
    <t>Dr A.R.Babu</t>
  </si>
  <si>
    <t>Professor</t>
  </si>
  <si>
    <t>4017000402722492</t>
  </si>
  <si>
    <t>Dr C Ahilan</t>
  </si>
  <si>
    <t>4017000402728706</t>
  </si>
  <si>
    <t>Dr V Velu Mani</t>
  </si>
  <si>
    <t>Assco.Prof</t>
  </si>
  <si>
    <t>4017000402728867</t>
  </si>
  <si>
    <t>Dr Ranjith Kumar G</t>
  </si>
  <si>
    <t>616065357</t>
  </si>
  <si>
    <t>C.Umamaheswari</t>
  </si>
  <si>
    <t>4017000402716589</t>
  </si>
  <si>
    <t>N.Sakthivelan</t>
  </si>
  <si>
    <t>4017000402716941</t>
  </si>
  <si>
    <t>S. Jawahar</t>
  </si>
  <si>
    <t>4017006900000287</t>
  </si>
  <si>
    <t>P Pradeep</t>
  </si>
  <si>
    <t>4017000402727877</t>
  </si>
  <si>
    <t xml:space="preserve">S Johny James </t>
  </si>
  <si>
    <t>4017000102775822</t>
  </si>
  <si>
    <t>K Divya Teja</t>
  </si>
  <si>
    <t>4017000402727716</t>
  </si>
  <si>
    <t>V K Sri Murali</t>
  </si>
  <si>
    <t>4017000402729042</t>
  </si>
  <si>
    <t>Arun  Sacos</t>
  </si>
  <si>
    <t>4017000402728715</t>
  </si>
  <si>
    <t>A Kesavulu</t>
  </si>
  <si>
    <t>616065335</t>
  </si>
  <si>
    <t xml:space="preserve">A Rajasekhar </t>
  </si>
  <si>
    <t>4017000402717153</t>
  </si>
  <si>
    <t>R Rajesh</t>
  </si>
  <si>
    <t>4017000402713838</t>
  </si>
  <si>
    <t xml:space="preserve">Dr S Jagadeesha </t>
  </si>
  <si>
    <t>Professor &amp; HOD</t>
  </si>
  <si>
    <t>4017000402728894</t>
  </si>
  <si>
    <t xml:space="preserve">Dr. T Muni Reddy </t>
  </si>
  <si>
    <t>4198000100062311</t>
  </si>
  <si>
    <t>Dr Jean Jenifer Nesam</t>
  </si>
  <si>
    <t>611062612</t>
  </si>
  <si>
    <t>Dr S Narasimman</t>
  </si>
  <si>
    <t>4017000102780523</t>
  </si>
  <si>
    <t>Dr T S Ghouse Basha</t>
  </si>
  <si>
    <t>V.Jayachandra Naidu</t>
  </si>
  <si>
    <t>4017000402716084</t>
  </si>
  <si>
    <t>S.Nagaraj</t>
  </si>
  <si>
    <t>4017000402716543</t>
  </si>
  <si>
    <t xml:space="preserve">M.Chitra </t>
  </si>
  <si>
    <t>4017000402714466</t>
  </si>
  <si>
    <t>R Malikarjuna Reddy</t>
  </si>
  <si>
    <t>4017000402728928</t>
  </si>
  <si>
    <t>Dr P Bhuvaneswari</t>
  </si>
  <si>
    <t>7926000100018699</t>
  </si>
  <si>
    <t>Priya Darshini</t>
  </si>
  <si>
    <t>Asst Prof</t>
  </si>
  <si>
    <t>4017000402729051</t>
  </si>
  <si>
    <t>K.Venkataramana Reddy</t>
  </si>
  <si>
    <t>4017000102774841</t>
  </si>
  <si>
    <t>Om Prakash</t>
  </si>
  <si>
    <t>4932000100085114</t>
  </si>
  <si>
    <t>M.Mohan Raju</t>
  </si>
  <si>
    <t>4017000402717816</t>
  </si>
  <si>
    <t>D.Srihari</t>
  </si>
  <si>
    <t>4017000102775716</t>
  </si>
  <si>
    <t>M Kalpana</t>
  </si>
  <si>
    <t>4017000402722094</t>
  </si>
  <si>
    <t>D Vani</t>
  </si>
  <si>
    <t>4017000402727497</t>
  </si>
  <si>
    <t xml:space="preserve">Debanjan Sarkar </t>
  </si>
  <si>
    <t>4017000402728760</t>
  </si>
  <si>
    <t xml:space="preserve">M.Chamini </t>
  </si>
  <si>
    <t>4017000302710586</t>
  </si>
  <si>
    <t xml:space="preserve">Anand Prem.PK </t>
  </si>
  <si>
    <t>3301000104118349</t>
  </si>
  <si>
    <t>A.Maheswary</t>
  </si>
  <si>
    <t>4017000402722030</t>
  </si>
  <si>
    <t>Dr.S.Ranjani</t>
  </si>
  <si>
    <t>0486000100375310</t>
  </si>
  <si>
    <t>G.Sreepriya</t>
  </si>
  <si>
    <t>4017000402715818</t>
  </si>
  <si>
    <t>P.Subramanyam</t>
  </si>
  <si>
    <t>4017000402715012</t>
  </si>
  <si>
    <t>R Kannan</t>
  </si>
  <si>
    <t>4017000102780426</t>
  </si>
  <si>
    <t>P.Jyotheeswari</t>
  </si>
  <si>
    <t>Assoc.Prof &amp; HOD</t>
  </si>
  <si>
    <t>4017000402716136</t>
  </si>
  <si>
    <t>K.Thyagarajan</t>
  </si>
  <si>
    <t>4017000402714581</t>
  </si>
  <si>
    <t>Dr Amstrong Joseph</t>
  </si>
  <si>
    <t>062001000808414</t>
  </si>
  <si>
    <t>Dr Krishna Anand</t>
  </si>
  <si>
    <t>Dr Sailesh kumar</t>
  </si>
  <si>
    <t>3032001500001746</t>
  </si>
  <si>
    <t>Dr Sai Prasad</t>
  </si>
  <si>
    <t>4017000102779749</t>
  </si>
  <si>
    <t xml:space="preserve">S.Anusha </t>
  </si>
  <si>
    <t>4017000402725240</t>
  </si>
  <si>
    <t>Viswanath G</t>
  </si>
  <si>
    <t>37834654781</t>
  </si>
  <si>
    <t>A B Manju</t>
  </si>
  <si>
    <t>4017000402718213</t>
  </si>
  <si>
    <t>T Sangeetha</t>
  </si>
  <si>
    <t>13002612000179</t>
  </si>
  <si>
    <t>Sathish Kumar N</t>
  </si>
  <si>
    <t>218001001044524</t>
  </si>
  <si>
    <t>Amit Ranjan</t>
  </si>
  <si>
    <t>3292004800000035</t>
  </si>
  <si>
    <t>J Balaji</t>
  </si>
  <si>
    <t>Placement Trainer</t>
  </si>
  <si>
    <t>4017000402727655</t>
  </si>
  <si>
    <t>M B Sailaja</t>
  </si>
  <si>
    <t>4017000102780833</t>
  </si>
  <si>
    <t>Pandreti Praveen</t>
  </si>
  <si>
    <t>4017000402729352</t>
  </si>
  <si>
    <t>P Shanumuga Sundari</t>
  </si>
  <si>
    <t>0486000100375329</t>
  </si>
  <si>
    <t>Sujitha K Y</t>
  </si>
  <si>
    <t>181810100171262</t>
  </si>
  <si>
    <t>R Eswar Reddy</t>
  </si>
  <si>
    <t>4017000102779776</t>
  </si>
  <si>
    <t>Dr.D.Bright Anand</t>
  </si>
  <si>
    <t>605801508001</t>
  </si>
  <si>
    <t>Dr.R.Madonna Arith</t>
  </si>
  <si>
    <t>10743027376</t>
  </si>
  <si>
    <t>Dr.B Chandra Sekhar</t>
  </si>
  <si>
    <t>069001503409</t>
  </si>
  <si>
    <t>SK Jamil Ahmed</t>
  </si>
  <si>
    <t>0183040120001369</t>
  </si>
  <si>
    <t>V Chandra Sekhar</t>
  </si>
  <si>
    <t>1425101023269</t>
  </si>
  <si>
    <t>Akora Murthy</t>
  </si>
  <si>
    <t>127801000021321</t>
  </si>
  <si>
    <t>D Nowshad Ali</t>
  </si>
  <si>
    <t>30075918883</t>
  </si>
  <si>
    <t>C Gnanaprakasam</t>
  </si>
  <si>
    <t>117001000822495</t>
  </si>
  <si>
    <t>M Vivekanandan</t>
  </si>
  <si>
    <t>421531433</t>
  </si>
  <si>
    <t xml:space="preserve">Dr J.Velmurugan </t>
  </si>
  <si>
    <t>4017000402714031</t>
  </si>
  <si>
    <t>Rajib Guhathakurta</t>
  </si>
  <si>
    <t>Assoc Prof</t>
  </si>
  <si>
    <t>0184104000162456</t>
  </si>
  <si>
    <t>B.Himabindu</t>
  </si>
  <si>
    <t>4198000100062454</t>
  </si>
  <si>
    <t>M Madhavan</t>
  </si>
  <si>
    <t>35893925939</t>
  </si>
  <si>
    <t>M.Sadhasivam</t>
  </si>
  <si>
    <t>30505828381</t>
  </si>
  <si>
    <t>N.Sendhil Kumar</t>
  </si>
  <si>
    <t>Assoc.Prof
&amp; HOD</t>
  </si>
  <si>
    <t>4017000402713926</t>
  </si>
  <si>
    <t>M.Satish Kumar</t>
  </si>
  <si>
    <t>4017000402714280</t>
  </si>
  <si>
    <t>A.M.Rangaraj</t>
  </si>
  <si>
    <t>4017000402714925</t>
  </si>
  <si>
    <t xml:space="preserve">Viswanath Mudaliar </t>
  </si>
  <si>
    <t>4017000402728946</t>
  </si>
  <si>
    <t>Nihar Ranjan Nayak</t>
  </si>
  <si>
    <t>605868517</t>
  </si>
  <si>
    <t>G.Dhanasekar</t>
  </si>
  <si>
    <t>4017000402713892</t>
  </si>
  <si>
    <t>Subrata Chowdhury</t>
  </si>
  <si>
    <t>6049650392</t>
  </si>
  <si>
    <t>Dr.E.Lokanadha Reddy</t>
  </si>
  <si>
    <t>Professor
&amp; HOD</t>
  </si>
  <si>
    <t>4017000402714095</t>
  </si>
  <si>
    <t>Dr.N.Giri Babu</t>
  </si>
  <si>
    <t xml:space="preserve">Asso.Prof
</t>
  </si>
  <si>
    <t>4017000402718648</t>
  </si>
  <si>
    <t>Dr.M.Vidhya Sagar</t>
  </si>
  <si>
    <t>4017000402717205</t>
  </si>
  <si>
    <t xml:space="preserve">T.Raja Reddy </t>
  </si>
  <si>
    <t>Assoc.Prof&amp; HOD</t>
  </si>
  <si>
    <t>4017000402714059</t>
  </si>
  <si>
    <t>Somdev Bannerjee</t>
  </si>
  <si>
    <t>Director-TAP</t>
  </si>
  <si>
    <t>4017000402728627</t>
  </si>
  <si>
    <t>K.Srinivasan</t>
  </si>
  <si>
    <t>4017000402717603</t>
  </si>
  <si>
    <t>M.Jalaja</t>
  </si>
  <si>
    <t>4017000402716729</t>
  </si>
  <si>
    <t xml:space="preserve">Dr.C.Rajanikanth </t>
  </si>
  <si>
    <t>4017000402715377</t>
  </si>
  <si>
    <t xml:space="preserve">M.Suresh </t>
  </si>
  <si>
    <t>4017000402714721</t>
  </si>
  <si>
    <t>K.Bindhumadhavi</t>
  </si>
  <si>
    <t>4017000402722386</t>
  </si>
  <si>
    <t>R.Hemanth Babu</t>
  </si>
  <si>
    <t>4017000402716987</t>
  </si>
  <si>
    <t>G.Rakesh Naidu</t>
  </si>
  <si>
    <t>4017000402715483</t>
  </si>
  <si>
    <t>M  Mohana Sundara Rajan</t>
  </si>
  <si>
    <t>4017000402727664</t>
  </si>
  <si>
    <t xml:space="preserve">M Pragnashree </t>
  </si>
  <si>
    <t>4017000402716066</t>
  </si>
  <si>
    <t>Rama Thulasi</t>
  </si>
  <si>
    <t>Ph.D Scholar</t>
  </si>
  <si>
    <t>4017000402722395</t>
  </si>
  <si>
    <t xml:space="preserve">Dr.V.L.Nirmal Bhargavi </t>
  </si>
  <si>
    <t>4017000402716233</t>
  </si>
  <si>
    <t xml:space="preserve">Dr.K.Komala </t>
  </si>
  <si>
    <t>Assoc.Prof&amp;HOD</t>
  </si>
  <si>
    <t>4017000402716668</t>
  </si>
  <si>
    <t>A.Bhuvaneswari</t>
  </si>
  <si>
    <t>4017000402716224</t>
  </si>
  <si>
    <t>Dr. Sudharsan Reddy</t>
  </si>
  <si>
    <t>4017000402715605</t>
  </si>
  <si>
    <t>Dr S Gouse Mohiddin</t>
  </si>
  <si>
    <t>4017000102779837</t>
  </si>
  <si>
    <t>Dr.Saran Raj</t>
  </si>
  <si>
    <t>4401000101084001</t>
  </si>
  <si>
    <t>T.Rajit Madhu Priya</t>
  </si>
  <si>
    <t>4017000402714800</t>
  </si>
  <si>
    <t>V.Sujatha</t>
  </si>
  <si>
    <t>4017000402722289</t>
  </si>
  <si>
    <t xml:space="preserve">A Mohan Rami Reddy </t>
  </si>
  <si>
    <t>4017000402722270</t>
  </si>
  <si>
    <t xml:space="preserve">V Vidya </t>
  </si>
  <si>
    <t>4017000402722304</t>
  </si>
  <si>
    <t>C.K.Selvi</t>
  </si>
  <si>
    <t>4017000402722377</t>
  </si>
  <si>
    <t>P Gopi Krishna</t>
  </si>
  <si>
    <t>4557000400008236</t>
  </si>
  <si>
    <t>G Naresh</t>
  </si>
  <si>
    <t>4017000402727390</t>
  </si>
  <si>
    <t>R Mohammed Ismail</t>
  </si>
  <si>
    <t>4017000102779688</t>
  </si>
  <si>
    <t>R Mohan Babu</t>
  </si>
  <si>
    <t>4017000402727549</t>
  </si>
  <si>
    <t>Dileep</t>
  </si>
  <si>
    <t>4017000102779679</t>
  </si>
  <si>
    <t>B Mahesh</t>
  </si>
  <si>
    <t>4017000402729370</t>
  </si>
  <si>
    <t>D Kishore</t>
  </si>
  <si>
    <t>22612413000363</t>
  </si>
  <si>
    <t>Shaik Ayesha</t>
  </si>
  <si>
    <t>4017000402729389</t>
  </si>
  <si>
    <t>R Dinesh Babu</t>
  </si>
  <si>
    <t>0486000100375189</t>
  </si>
  <si>
    <t>V Joysrani</t>
  </si>
  <si>
    <t>31713797845</t>
  </si>
  <si>
    <t>Padmavathi</t>
  </si>
  <si>
    <t>4017000402716640</t>
  </si>
  <si>
    <t>P M Badusha</t>
  </si>
  <si>
    <t>20228917178</t>
  </si>
  <si>
    <t>Polayiah</t>
  </si>
  <si>
    <t>20314110033</t>
  </si>
  <si>
    <t xml:space="preserve">R Mahesh </t>
  </si>
  <si>
    <t>4017000402727691</t>
  </si>
  <si>
    <t>R Vidya</t>
  </si>
  <si>
    <t>4017000402727646</t>
  </si>
  <si>
    <t>S Devayani</t>
  </si>
  <si>
    <t>168301000014598</t>
  </si>
  <si>
    <t>S.Swathy</t>
  </si>
  <si>
    <t>0949101043867</t>
  </si>
  <si>
    <t>Dr.Gowri Shankar</t>
  </si>
  <si>
    <t>736304898</t>
  </si>
  <si>
    <t>Dr.M.Earnest Stephen Gnanadoss</t>
  </si>
  <si>
    <t>6051557934</t>
  </si>
  <si>
    <t>G.B.Reddy</t>
  </si>
  <si>
    <t>P.D</t>
  </si>
  <si>
    <t>4017000402715739</t>
  </si>
  <si>
    <t>Salary Bill for the Month of July 2018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</si>
</sst>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</numFmts>
  <fonts count="30">
    <font>
      <sz val="11"/>
      <name val="Calibri"/>
      <charset val="134"/>
      <scheme val="minor"/>
    </font>
    <font>
      <b/>
      <sz val="10"/>
      <color rgb="FF17365D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sz val="10"/>
      <color rgb="FF506070"/>
      <name val="Effra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b/>
      <sz val="10"/>
      <color rgb="FF17365D"/>
      <name val="Times New Roman"/>
      <charset val="134"/>
    </font>
    <font>
      <b/>
      <sz val="10"/>
      <name val="Times New Roman"/>
      <charset val="134"/>
    </font>
    <font>
      <sz val="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599993896298105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178" fontId="2" fillId="2" borderId="0" xfId="0" applyNumberFormat="1" applyFont="1" applyFill="1" applyAlignment="1">
      <alignment vertical="center" wrapText="1"/>
    </xf>
    <xf numFmtId="178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78" fontId="2" fillId="2" borderId="0" xfId="0" applyNumberFormat="1" applyFont="1" applyFill="1" applyAlignment="1">
      <alignment horizontal="left" vertical="center" wrapText="1"/>
    </xf>
    <xf numFmtId="178" fontId="2" fillId="3" borderId="0" xfId="0" applyNumberFormat="1" applyFont="1" applyFill="1" applyAlignment="1">
      <alignment horizontal="center" vertical="center"/>
    </xf>
    <xf numFmtId="178" fontId="2" fillId="3" borderId="0" xfId="0" applyNumberFormat="1" applyFont="1" applyFill="1" applyAlignment="1">
      <alignment vertical="center" wrapText="1"/>
    </xf>
    <xf numFmtId="178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vertical="center" wrapText="1"/>
    </xf>
    <xf numFmtId="178" fontId="3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78" fontId="2" fillId="0" borderId="1" xfId="0" applyNumberFormat="1" applyFont="1" applyBorder="1" applyAlignment="1">
      <alignment vertical="center"/>
    </xf>
    <xf numFmtId="178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178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178" fontId="2" fillId="4" borderId="0" xfId="0" applyNumberFormat="1" applyFont="1" applyFill="1" applyAlignment="1">
      <alignment horizontal="center" vertical="center" wrapText="1"/>
    </xf>
    <xf numFmtId="43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horizontal="center" vertical="center" wrapText="1"/>
    </xf>
    <xf numFmtId="4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78" fontId="2" fillId="4" borderId="0" xfId="0" applyNumberFormat="1" applyFont="1" applyFill="1" applyAlignment="1">
      <alignment vertical="center" wrapText="1"/>
    </xf>
    <xf numFmtId="178" fontId="2" fillId="4" borderId="0" xfId="0" applyNumberFormat="1" applyFont="1" applyFill="1" applyAlignment="1">
      <alignment horizontal="left" vertical="center" wrapText="1"/>
    </xf>
    <xf numFmtId="178" fontId="3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 wrapText="1"/>
    </xf>
    <xf numFmtId="178" fontId="2" fillId="0" borderId="0" xfId="0" applyNumberFormat="1" applyFont="1" applyAlignment="1">
      <alignment horizontal="center" vertical="center" wrapText="1"/>
    </xf>
    <xf numFmtId="0" fontId="4" fillId="0" borderId="0" xfId="0" applyFont="1"/>
    <xf numFmtId="178" fontId="2" fillId="0" borderId="0" xfId="0" applyNumberFormat="1" applyFont="1" applyAlignment="1">
      <alignment horizontal="left" vertical="center" wrapText="1"/>
    </xf>
    <xf numFmtId="0" fontId="5" fillId="0" borderId="0" xfId="0" applyFont="1"/>
    <xf numFmtId="0" fontId="5" fillId="0" borderId="0" xfId="0" applyFont="1" applyFill="1"/>
    <xf numFmtId="0" fontId="6" fillId="0" borderId="0" xfId="0" applyFont="1" applyFill="1"/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43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78" fontId="6" fillId="0" borderId="9" xfId="0" applyNumberFormat="1" applyFont="1" applyBorder="1" applyAlignment="1">
      <alignment horizontal="center" vertical="center"/>
    </xf>
    <xf numFmtId="178" fontId="8" fillId="5" borderId="9" xfId="0" applyNumberFormat="1" applyFont="1" applyFill="1" applyBorder="1" applyAlignment="1">
      <alignment vertical="center" wrapText="1"/>
    </xf>
    <xf numFmtId="178" fontId="6" fillId="0" borderId="9" xfId="0" applyNumberFormat="1" applyFont="1" applyBorder="1" applyAlignment="1">
      <alignment horizontal="center" vertical="center" wrapText="1"/>
    </xf>
    <xf numFmtId="4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8" fontId="8" fillId="0" borderId="9" xfId="0" applyNumberFormat="1" applyFont="1" applyBorder="1" applyAlignment="1">
      <alignment horizontal="center" vertical="center"/>
    </xf>
    <xf numFmtId="178" fontId="8" fillId="6" borderId="9" xfId="49" applyNumberFormat="1" applyFont="1" applyFill="1" applyBorder="1" applyAlignment="1">
      <alignment vertical="center" wrapText="1"/>
    </xf>
    <xf numFmtId="43" fontId="8" fillId="0" borderId="9" xfId="0" applyNumberFormat="1" applyFont="1" applyBorder="1" applyAlignment="1">
      <alignment horizontal="center" vertical="center" wrapText="1"/>
    </xf>
    <xf numFmtId="178" fontId="5" fillId="0" borderId="9" xfId="0" applyNumberFormat="1" applyFont="1" applyBorder="1" applyAlignment="1">
      <alignment vertical="center" wrapText="1"/>
    </xf>
    <xf numFmtId="178" fontId="5" fillId="0" borderId="9" xfId="0" applyNumberFormat="1" applyFont="1" applyBorder="1" applyAlignment="1">
      <alignment horizontal="center" vertical="center" wrapText="1"/>
    </xf>
    <xf numFmtId="178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 wrapText="1"/>
    </xf>
    <xf numFmtId="178" fontId="6" fillId="0" borderId="9" xfId="0" applyNumberFormat="1" applyFont="1" applyBorder="1" applyAlignment="1">
      <alignment horizontal="left" vertical="center"/>
    </xf>
    <xf numFmtId="43" fontId="6" fillId="0" borderId="9" xfId="0" applyNumberFormat="1" applyFont="1" applyBorder="1" applyAlignment="1">
      <alignment horizontal="left" vertical="center"/>
    </xf>
    <xf numFmtId="1" fontId="6" fillId="0" borderId="9" xfId="49" applyNumberFormat="1" applyFont="1" applyBorder="1" applyAlignment="1">
      <alignment horizontal="center" vertical="center"/>
    </xf>
    <xf numFmtId="0" fontId="6" fillId="0" borderId="9" xfId="49" applyFont="1" applyBorder="1" applyAlignment="1">
      <alignment horizontal="center" vertical="center"/>
    </xf>
    <xf numFmtId="178" fontId="6" fillId="0" borderId="9" xfId="0" applyNumberFormat="1" applyFont="1" applyBorder="1" applyAlignment="1">
      <alignment vertical="center" wrapText="1"/>
    </xf>
    <xf numFmtId="43" fontId="6" fillId="0" borderId="9" xfId="0" applyNumberFormat="1" applyFont="1" applyBorder="1" applyAlignment="1">
      <alignment horizontal="center" vertical="center" wrapText="1"/>
    </xf>
    <xf numFmtId="178" fontId="5" fillId="0" borderId="9" xfId="0" applyNumberFormat="1" applyFont="1" applyFill="1" applyBorder="1" applyAlignment="1">
      <alignment vertical="center" wrapText="1"/>
    </xf>
    <xf numFmtId="178" fontId="5" fillId="0" borderId="9" xfId="0" applyNumberFormat="1" applyFont="1" applyFill="1" applyBorder="1" applyAlignment="1">
      <alignment horizontal="center" vertical="center" wrapText="1"/>
    </xf>
    <xf numFmtId="178" fontId="5" fillId="0" borderId="9" xfId="0" applyNumberFormat="1" applyFont="1" applyFill="1" applyBorder="1" applyAlignment="1">
      <alignment horizontal="center" vertical="center"/>
    </xf>
    <xf numFmtId="43" fontId="5" fillId="0" borderId="9" xfId="0" applyNumberFormat="1" applyFont="1" applyFill="1" applyBorder="1" applyAlignment="1">
      <alignment horizontal="center" vertical="center" wrapText="1"/>
    </xf>
    <xf numFmtId="178" fontId="6" fillId="0" borderId="9" xfId="0" applyNumberFormat="1" applyFont="1" applyFill="1" applyBorder="1" applyAlignment="1">
      <alignment horizontal="left" vertical="center"/>
    </xf>
    <xf numFmtId="43" fontId="6" fillId="0" borderId="9" xfId="0" applyNumberFormat="1" applyFont="1" applyFill="1" applyBorder="1" applyAlignment="1">
      <alignment horizontal="left" vertical="center"/>
    </xf>
    <xf numFmtId="1" fontId="6" fillId="0" borderId="9" xfId="49" applyNumberFormat="1" applyFont="1" applyFill="1" applyBorder="1" applyAlignment="1">
      <alignment horizontal="center" vertical="center"/>
    </xf>
    <xf numFmtId="0" fontId="6" fillId="0" borderId="9" xfId="49" applyFont="1" applyFill="1" applyBorder="1" applyAlignment="1">
      <alignment horizontal="center" vertical="center"/>
    </xf>
    <xf numFmtId="178" fontId="6" fillId="0" borderId="9" xfId="0" applyNumberFormat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top" wrapText="1"/>
    </xf>
    <xf numFmtId="178" fontId="8" fillId="0" borderId="9" xfId="0" applyNumberFormat="1" applyFont="1" applyBorder="1" applyAlignment="1">
      <alignment vertical="center" wrapText="1"/>
    </xf>
    <xf numFmtId="178" fontId="8" fillId="0" borderId="9" xfId="0" applyNumberFormat="1" applyFont="1" applyBorder="1" applyAlignment="1">
      <alignment horizontal="center" vertical="center" wrapText="1"/>
    </xf>
    <xf numFmtId="43" fontId="8" fillId="0" borderId="9" xfId="0" applyNumberFormat="1" applyFont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vertical="center" wrapText="1"/>
    </xf>
    <xf numFmtId="178" fontId="8" fillId="0" borderId="0" xfId="0" applyNumberFormat="1" applyFont="1" applyAlignment="1">
      <alignment horizontal="center" vertical="center" wrapText="1"/>
    </xf>
    <xf numFmtId="43" fontId="8" fillId="0" borderId="0" xfId="0" applyNumberFormat="1" applyFont="1" applyAlignment="1">
      <alignment horizontal="center" vertical="center"/>
    </xf>
    <xf numFmtId="178" fontId="8" fillId="0" borderId="1" xfId="0" applyNumberFormat="1" applyFont="1" applyBorder="1" applyAlignment="1">
      <alignment horizontal="center"/>
    </xf>
    <xf numFmtId="178" fontId="8" fillId="0" borderId="1" xfId="0" applyNumberFormat="1" applyFont="1" applyBorder="1" applyAlignment="1"/>
    <xf numFmtId="178" fontId="8" fillId="0" borderId="1" xfId="0" applyNumberFormat="1" applyFont="1" applyBorder="1" applyAlignment="1">
      <alignment horizontal="center"/>
    </xf>
    <xf numFmtId="178" fontId="8" fillId="0" borderId="1" xfId="0" applyNumberFormat="1" applyFont="1" applyBorder="1" applyAlignment="1">
      <alignment vertical="center"/>
    </xf>
    <xf numFmtId="178" fontId="8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8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78" fontId="8" fillId="0" borderId="0" xfId="0" applyNumberFormat="1" applyFont="1" applyAlignment="1">
      <alignment horizontal="center" vertical="top"/>
    </xf>
    <xf numFmtId="178" fontId="8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3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" fontId="6" fillId="0" borderId="9" xfId="49" applyNumberFormat="1" applyFont="1" applyBorder="1" applyAlignment="1" quotePrefix="1">
      <alignment horizontal="center" vertical="center"/>
    </xf>
    <xf numFmtId="43" fontId="6" fillId="0" borderId="9" xfId="0" applyNumberFormat="1" applyFont="1" applyBorder="1" applyAlignment="1" quotePrefix="1">
      <alignment horizontal="center" vertical="center"/>
    </xf>
    <xf numFmtId="1" fontId="6" fillId="0" borderId="9" xfId="49" applyNumberFormat="1" applyFont="1" applyFill="1" applyBorder="1" applyAlignment="1" quotePrefix="1">
      <alignment horizontal="center" vertical="center"/>
    </xf>
    <xf numFmtId="43" fontId="2" fillId="0" borderId="0" xfId="0" applyNumberFormat="1" applyFont="1" applyAlignment="1" quotePrefix="1">
      <alignment horizontal="center" vertical="center"/>
    </xf>
    <xf numFmtId="43" fontId="2" fillId="4" borderId="0" xfId="0" applyNumberFormat="1" applyFont="1" applyFill="1" applyAlignment="1" quotePrefix="1">
      <alignment horizontal="center" vertical="center"/>
    </xf>
    <xf numFmtId="0" fontId="4" fillId="0" borderId="0" xfId="0" applyFont="1" quotePrefix="1"/>
    <xf numFmtId="178" fontId="2" fillId="0" borderId="0" xfId="0" applyNumberFormat="1" applyFont="1" applyAlignment="1" quotePrefix="1">
      <alignment horizontal="center" vertical="center"/>
    </xf>
    <xf numFmtId="178" fontId="2" fillId="2" borderId="0" xfId="0" applyNumberFormat="1" applyFont="1" applyFill="1" applyAlignment="1" quotePrefix="1">
      <alignment horizontal="center" vertical="center"/>
    </xf>
    <xf numFmtId="178" fontId="2" fillId="4" borderId="0" xfId="0" applyNumberFormat="1" applyFont="1" applyFill="1" applyAlignment="1" quotePrefix="1">
      <alignment horizontal="center" vertical="center"/>
    </xf>
    <xf numFmtId="178" fontId="2" fillId="3" borderId="0" xfId="0" applyNumberFormat="1" applyFont="1" applyFill="1" applyAlignment="1" quotePrefix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FFFFFF"/>
      <color rgb="00FF6600"/>
      <color rgb="00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5"/>
  <sheetViews>
    <sheetView tabSelected="1" zoomScale="90" zoomScaleNormal="90" workbookViewId="0">
      <selection activeCell="AC16" sqref="AC16"/>
    </sheetView>
  </sheetViews>
  <sheetFormatPr defaultColWidth="14.4272727272727" defaultRowHeight="15" customHeight="1"/>
  <cols>
    <col min="1" max="1" width="5.28181818181818" style="45" customWidth="1"/>
    <col min="2" max="2" width="23.4272727272727" style="46" customWidth="1"/>
    <col min="3" max="3" width="19.2818181818182" style="46" customWidth="1"/>
    <col min="4" max="4" width="10.4272727272727" style="46" customWidth="1"/>
    <col min="5" max="5" width="11.4272727272727" style="46" customWidth="1"/>
    <col min="6" max="8" width="6.57272727272727" style="46" hidden="1" customWidth="1"/>
    <col min="9" max="9" width="6.57272727272727" style="46" customWidth="1"/>
    <col min="10" max="12" width="6.57272727272727" style="46" hidden="1" customWidth="1"/>
    <col min="13" max="13" width="8.70909090909091" style="46" hidden="1" customWidth="1"/>
    <col min="14" max="15" width="6.57272727272727" style="46" hidden="1" customWidth="1"/>
    <col min="16" max="16" width="10" style="46" customWidth="1"/>
    <col min="17" max="17" width="6.57272727272727" style="46" hidden="1" customWidth="1"/>
    <col min="18" max="18" width="7.13636363636364" style="46" hidden="1" customWidth="1"/>
    <col min="19" max="20" width="7.42727272727273" style="46" customWidth="1"/>
    <col min="21" max="21" width="6.42727272727273" style="46" hidden="1" customWidth="1"/>
    <col min="22" max="22" width="7.42727272727273" style="46" hidden="1" customWidth="1"/>
    <col min="23" max="23" width="5" style="46" hidden="1" customWidth="1"/>
    <col min="24" max="24" width="10.4272727272727" style="46" hidden="1" customWidth="1"/>
    <col min="25" max="25" width="7.57272727272727" style="46" customWidth="1"/>
    <col min="26" max="26" width="10" style="46" customWidth="1"/>
    <col min="27" max="27" width="18.8545454545455" style="45" customWidth="1"/>
    <col min="28" max="28" width="15.1363636363636" style="45" customWidth="1"/>
    <col min="29" max="29" width="17" style="46" customWidth="1"/>
    <col min="30" max="30" width="16.1363636363636" style="46" customWidth="1"/>
    <col min="31" max="31" width="16" style="46" customWidth="1"/>
    <col min="32" max="16384" width="14.4272727272727" style="46"/>
  </cols>
  <sheetData>
    <row r="1" ht="14.5" spans="1:29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9"/>
    </row>
    <row r="2" ht="14.5" spans="1:29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2"/>
    </row>
    <row r="3" ht="25.5" customHeight="1" spans="1:29">
      <c r="A3" s="53" t="s">
        <v>2</v>
      </c>
      <c r="B3" s="54" t="s">
        <v>3</v>
      </c>
      <c r="C3" s="53" t="s">
        <v>4</v>
      </c>
      <c r="D3" s="53" t="s">
        <v>5</v>
      </c>
      <c r="E3" s="53" t="s">
        <v>6</v>
      </c>
      <c r="F3" s="53" t="s">
        <v>7</v>
      </c>
      <c r="G3" s="53" t="s">
        <v>8</v>
      </c>
      <c r="H3" s="53" t="s">
        <v>9</v>
      </c>
      <c r="I3" s="55" t="s">
        <v>10</v>
      </c>
      <c r="J3" s="53" t="s">
        <v>11</v>
      </c>
      <c r="K3" s="53" t="s">
        <v>12</v>
      </c>
      <c r="L3" s="53" t="s">
        <v>13</v>
      </c>
      <c r="M3" s="53" t="s">
        <v>14</v>
      </c>
      <c r="N3" s="53" t="s">
        <v>15</v>
      </c>
      <c r="O3" s="53" t="s">
        <v>16</v>
      </c>
      <c r="P3" s="53" t="s">
        <v>17</v>
      </c>
      <c r="Q3" s="53" t="s">
        <v>18</v>
      </c>
      <c r="R3" s="53" t="s">
        <v>19</v>
      </c>
      <c r="S3" s="53" t="s">
        <v>20</v>
      </c>
      <c r="T3" s="53" t="s">
        <v>21</v>
      </c>
      <c r="U3" s="53" t="s">
        <v>22</v>
      </c>
      <c r="V3" s="53" t="s">
        <v>23</v>
      </c>
      <c r="W3" s="53" t="s">
        <v>24</v>
      </c>
      <c r="X3" s="53" t="s">
        <v>25</v>
      </c>
      <c r="Y3" s="53" t="s">
        <v>26</v>
      </c>
      <c r="Z3" s="53" t="s">
        <v>27</v>
      </c>
      <c r="AA3" s="55" t="s">
        <v>28</v>
      </c>
      <c r="AB3" s="56" t="s">
        <v>29</v>
      </c>
    </row>
    <row r="4" ht="10.5" customHeight="1" spans="1:29">
      <c r="A4" s="57"/>
      <c r="B4" s="58" t="s">
        <v>30</v>
      </c>
      <c r="C4" s="59"/>
      <c r="D4" s="57"/>
      <c r="E4" s="57"/>
      <c r="F4" s="57"/>
      <c r="G4" s="57"/>
      <c r="H4" s="57"/>
      <c r="I4" s="60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60"/>
      <c r="AB4" s="61"/>
    </row>
    <row r="5" ht="10.5" customHeight="1" spans="1:29">
      <c r="A5" s="62"/>
      <c r="B5" s="63" t="s">
        <v>31</v>
      </c>
      <c r="C5" s="59"/>
      <c r="D5" s="57"/>
      <c r="E5" s="57"/>
      <c r="F5" s="57"/>
      <c r="G5" s="57"/>
      <c r="H5" s="57"/>
      <c r="I5" s="64">
        <v>31</v>
      </c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60"/>
      <c r="AB5" s="61"/>
    </row>
    <row r="6" s="41" customFormat="1" ht="18" customHeight="1" spans="1:29">
      <c r="A6" s="57">
        <v>1</v>
      </c>
      <c r="B6" s="65" t="s">
        <v>32</v>
      </c>
      <c r="C6" s="66" t="s">
        <v>33</v>
      </c>
      <c r="D6" s="67">
        <v>100000</v>
      </c>
      <c r="E6" s="67">
        <v>100000</v>
      </c>
      <c r="F6" s="67"/>
      <c r="G6" s="67"/>
      <c r="H6" s="67"/>
      <c r="I6" s="68">
        <v>31</v>
      </c>
      <c r="J6" s="67"/>
      <c r="K6" s="67"/>
      <c r="L6" s="67"/>
      <c r="M6" s="67"/>
      <c r="N6" s="67"/>
      <c r="O6" s="67"/>
      <c r="P6" s="66">
        <f t="shared" ref="P6:P11" si="0">ROUNDUP(E6/I$5*I6+M6,0)</f>
        <v>100000</v>
      </c>
      <c r="Q6" s="66"/>
      <c r="R6" s="66"/>
      <c r="S6" s="69">
        <f t="shared" ref="S6:S15" si="1">IF(P6&gt;20001,200,IF(P6&gt;15001,150,IF(P6&lt;15000,0,)))</f>
        <v>200</v>
      </c>
      <c r="T6" s="70">
        <f t="shared" ref="T6:T15" si="2">IF(P6,IF(1,30),IF(1,0))</f>
        <v>30</v>
      </c>
      <c r="U6" s="66"/>
      <c r="V6" s="66"/>
      <c r="W6" s="66"/>
      <c r="X6" s="66"/>
      <c r="Y6" s="66">
        <f t="shared" ref="Y6:Y11" si="3">SUM(Q6:X6)</f>
        <v>230</v>
      </c>
      <c r="Z6" s="66">
        <f t="shared" ref="Z6:Z11" si="4">P6-Y6</f>
        <v>99770</v>
      </c>
      <c r="AA6" s="71" t="s">
        <v>34</v>
      </c>
      <c r="AB6" s="72" t="s">
        <v>35</v>
      </c>
    </row>
    <row r="7" s="41" customFormat="1" ht="18" customHeight="1" spans="1:29">
      <c r="A7" s="57">
        <v>2</v>
      </c>
      <c r="B7" s="65" t="s">
        <v>36</v>
      </c>
      <c r="C7" s="66" t="s">
        <v>37</v>
      </c>
      <c r="D7" s="67">
        <v>34000</v>
      </c>
      <c r="E7" s="67">
        <v>34000</v>
      </c>
      <c r="F7" s="67"/>
      <c r="G7" s="67"/>
      <c r="H7" s="67"/>
      <c r="I7" s="68">
        <v>31</v>
      </c>
      <c r="J7" s="67"/>
      <c r="K7" s="67"/>
      <c r="L7" s="67"/>
      <c r="M7" s="67"/>
      <c r="N7" s="67"/>
      <c r="O7" s="67"/>
      <c r="P7" s="66">
        <f t="shared" si="0"/>
        <v>34000</v>
      </c>
      <c r="Q7" s="66"/>
      <c r="R7" s="66"/>
      <c r="S7" s="69">
        <f t="shared" si="1"/>
        <v>200</v>
      </c>
      <c r="T7" s="70">
        <f t="shared" si="2"/>
        <v>30</v>
      </c>
      <c r="U7" s="66"/>
      <c r="V7" s="66"/>
      <c r="W7" s="66"/>
      <c r="X7" s="66"/>
      <c r="Y7" s="66">
        <f t="shared" si="3"/>
        <v>230</v>
      </c>
      <c r="Z7" s="66">
        <f t="shared" si="4"/>
        <v>33770</v>
      </c>
      <c r="AA7" s="71" t="s">
        <v>38</v>
      </c>
      <c r="AB7" s="72" t="s">
        <v>39</v>
      </c>
    </row>
    <row r="8" s="41" customFormat="1" ht="18" customHeight="1" spans="1:29">
      <c r="A8" s="57">
        <v>3</v>
      </c>
      <c r="B8" s="65" t="s">
        <v>40</v>
      </c>
      <c r="C8" s="66" t="s">
        <v>41</v>
      </c>
      <c r="D8" s="67">
        <v>35000</v>
      </c>
      <c r="E8" s="67">
        <v>35000</v>
      </c>
      <c r="F8" s="67"/>
      <c r="G8" s="67"/>
      <c r="H8" s="67"/>
      <c r="I8" s="68">
        <v>31</v>
      </c>
      <c r="J8" s="67"/>
      <c r="K8" s="67"/>
      <c r="L8" s="67"/>
      <c r="M8" s="67"/>
      <c r="N8" s="67"/>
      <c r="O8" s="67"/>
      <c r="P8" s="66">
        <f t="shared" si="0"/>
        <v>35000</v>
      </c>
      <c r="Q8" s="66"/>
      <c r="R8" s="66"/>
      <c r="S8" s="69">
        <f t="shared" ref="S8:S10" si="5">IF(P8&gt;20001,200,IF(P8&gt;15001,150,IF(P8&lt;15000,0,)))</f>
        <v>200</v>
      </c>
      <c r="T8" s="70">
        <f t="shared" ref="T8:T10" si="6">IF(P8,IF(1,30),IF(1,0))</f>
        <v>30</v>
      </c>
      <c r="U8" s="66"/>
      <c r="V8" s="66"/>
      <c r="W8" s="66"/>
      <c r="X8" s="66"/>
      <c r="Y8" s="66">
        <f t="shared" si="3"/>
        <v>230</v>
      </c>
      <c r="Z8" s="66">
        <f t="shared" si="4"/>
        <v>34770</v>
      </c>
      <c r="AA8" s="108" t="s">
        <v>42</v>
      </c>
      <c r="AB8" s="72" t="s">
        <v>43</v>
      </c>
    </row>
    <row r="9" ht="18" customHeight="1" spans="1:29">
      <c r="A9" s="57">
        <v>4</v>
      </c>
      <c r="B9" s="73" t="s">
        <v>44</v>
      </c>
      <c r="C9" s="59" t="s">
        <v>45</v>
      </c>
      <c r="D9" s="57">
        <v>30000</v>
      </c>
      <c r="E9" s="57">
        <v>30000</v>
      </c>
      <c r="F9" s="57"/>
      <c r="G9" s="57"/>
      <c r="H9" s="57"/>
      <c r="I9" s="74">
        <v>30.5</v>
      </c>
      <c r="J9" s="57"/>
      <c r="K9" s="57"/>
      <c r="L9" s="57"/>
      <c r="M9" s="57"/>
      <c r="N9" s="57"/>
      <c r="O9" s="57"/>
      <c r="P9" s="59">
        <f t="shared" si="0"/>
        <v>29517</v>
      </c>
      <c r="Q9" s="59"/>
      <c r="R9" s="59"/>
      <c r="S9" s="59">
        <f t="shared" si="5"/>
        <v>200</v>
      </c>
      <c r="T9" s="59">
        <f t="shared" si="6"/>
        <v>30</v>
      </c>
      <c r="U9" s="59"/>
      <c r="V9" s="59"/>
      <c r="W9" s="59"/>
      <c r="X9" s="59"/>
      <c r="Y9" s="59">
        <f t="shared" si="3"/>
        <v>230</v>
      </c>
      <c r="Z9" s="59">
        <f t="shared" si="4"/>
        <v>29287</v>
      </c>
      <c r="AA9" s="109" t="s">
        <v>46</v>
      </c>
      <c r="AB9" s="61" t="s">
        <v>47</v>
      </c>
    </row>
    <row r="10" ht="18" customHeight="1" spans="1:29">
      <c r="A10" s="57">
        <v>5</v>
      </c>
      <c r="B10" s="73" t="s">
        <v>48</v>
      </c>
      <c r="C10" s="59" t="s">
        <v>45</v>
      </c>
      <c r="D10" s="57">
        <v>27000</v>
      </c>
      <c r="E10" s="57">
        <v>27000</v>
      </c>
      <c r="F10" s="57"/>
      <c r="G10" s="57"/>
      <c r="H10" s="57"/>
      <c r="I10" s="74">
        <v>31</v>
      </c>
      <c r="J10" s="57"/>
      <c r="K10" s="57"/>
      <c r="L10" s="57"/>
      <c r="M10" s="57"/>
      <c r="N10" s="57"/>
      <c r="O10" s="57"/>
      <c r="P10" s="59">
        <f t="shared" si="0"/>
        <v>27000</v>
      </c>
      <c r="Q10" s="59"/>
      <c r="R10" s="59"/>
      <c r="S10" s="59">
        <f t="shared" si="5"/>
        <v>200</v>
      </c>
      <c r="T10" s="59">
        <f t="shared" si="6"/>
        <v>30</v>
      </c>
      <c r="U10" s="59"/>
      <c r="V10" s="59"/>
      <c r="W10" s="59"/>
      <c r="X10" s="59"/>
      <c r="Y10" s="59">
        <f t="shared" si="3"/>
        <v>230</v>
      </c>
      <c r="Z10" s="59">
        <f t="shared" si="4"/>
        <v>26770</v>
      </c>
      <c r="AA10" s="109" t="s">
        <v>49</v>
      </c>
      <c r="AB10" s="61" t="s">
        <v>50</v>
      </c>
    </row>
    <row r="11" s="41" customFormat="1" ht="18" customHeight="1" spans="1:29">
      <c r="A11" s="57">
        <v>6</v>
      </c>
      <c r="B11" s="73" t="s">
        <v>51</v>
      </c>
      <c r="C11" s="59" t="s">
        <v>52</v>
      </c>
      <c r="D11" s="57">
        <v>13000</v>
      </c>
      <c r="E11" s="57">
        <v>13000</v>
      </c>
      <c r="F11" s="57"/>
      <c r="G11" s="57"/>
      <c r="H11" s="57"/>
      <c r="I11" s="74">
        <v>30</v>
      </c>
      <c r="J11" s="57"/>
      <c r="K11" s="57"/>
      <c r="L11" s="57"/>
      <c r="M11" s="57"/>
      <c r="N11" s="57"/>
      <c r="O11" s="57"/>
      <c r="P11" s="59">
        <f t="shared" si="0"/>
        <v>12581</v>
      </c>
      <c r="Q11" s="59"/>
      <c r="R11" s="59"/>
      <c r="S11" s="59">
        <f t="shared" si="1"/>
        <v>0</v>
      </c>
      <c r="T11" s="59">
        <f t="shared" si="2"/>
        <v>30</v>
      </c>
      <c r="U11" s="59"/>
      <c r="V11" s="59"/>
      <c r="W11" s="59"/>
      <c r="X11" s="59"/>
      <c r="Y11" s="59">
        <f t="shared" si="3"/>
        <v>30</v>
      </c>
      <c r="Z11" s="59">
        <f t="shared" si="4"/>
        <v>12551</v>
      </c>
      <c r="AA11" s="109" t="s">
        <v>53</v>
      </c>
      <c r="AB11" s="61" t="s">
        <v>54</v>
      </c>
      <c r="AC11" s="41" t="s">
        <v>55</v>
      </c>
    </row>
    <row r="12" s="42" customFormat="1" ht="18" customHeight="1" spans="1:29">
      <c r="A12" s="57">
        <v>7</v>
      </c>
      <c r="B12" s="75" t="s">
        <v>56</v>
      </c>
      <c r="C12" s="76" t="s">
        <v>52</v>
      </c>
      <c r="D12" s="77">
        <v>13000</v>
      </c>
      <c r="E12" s="77">
        <v>13000</v>
      </c>
      <c r="F12" s="77"/>
      <c r="G12" s="77"/>
      <c r="H12" s="77"/>
      <c r="I12" s="78">
        <v>28.5</v>
      </c>
      <c r="J12" s="77"/>
      <c r="K12" s="77"/>
      <c r="L12" s="77"/>
      <c r="M12" s="77"/>
      <c r="N12" s="77"/>
      <c r="O12" s="77"/>
      <c r="P12" s="76">
        <f t="shared" ref="P12:P15" si="7">ROUNDUP(E12/I$5*I12+M12,0)</f>
        <v>11952</v>
      </c>
      <c r="Q12" s="76"/>
      <c r="R12" s="76"/>
      <c r="S12" s="79">
        <f t="shared" si="1"/>
        <v>0</v>
      </c>
      <c r="T12" s="80">
        <f t="shared" si="2"/>
        <v>30</v>
      </c>
      <c r="U12" s="76"/>
      <c r="V12" s="76"/>
      <c r="W12" s="76"/>
      <c r="X12" s="76"/>
      <c r="Y12" s="76">
        <f t="shared" ref="Y12:Y15" si="8">SUM(Q12:X12)</f>
        <v>30</v>
      </c>
      <c r="Z12" s="76">
        <f t="shared" ref="Z12:Z15" si="9">P12-Y12</f>
        <v>11922</v>
      </c>
      <c r="AA12" s="81" t="s">
        <v>57</v>
      </c>
      <c r="AB12" s="82" t="s">
        <v>58</v>
      </c>
    </row>
    <row r="13" s="42" customFormat="1" ht="18" customHeight="1" spans="1:29">
      <c r="A13" s="57">
        <v>8</v>
      </c>
      <c r="B13" s="75" t="s">
        <v>59</v>
      </c>
      <c r="C13" s="76" t="s">
        <v>52</v>
      </c>
      <c r="D13" s="77">
        <v>12000</v>
      </c>
      <c r="E13" s="77">
        <v>12000</v>
      </c>
      <c r="F13" s="77"/>
      <c r="G13" s="77"/>
      <c r="H13" s="77"/>
      <c r="I13" s="78">
        <v>29</v>
      </c>
      <c r="J13" s="77"/>
      <c r="K13" s="77"/>
      <c r="L13" s="77"/>
      <c r="M13" s="77"/>
      <c r="N13" s="77"/>
      <c r="O13" s="77"/>
      <c r="P13" s="76">
        <f t="shared" si="7"/>
        <v>11226</v>
      </c>
      <c r="Q13" s="76"/>
      <c r="R13" s="76"/>
      <c r="S13" s="79">
        <f t="shared" si="1"/>
        <v>0</v>
      </c>
      <c r="T13" s="80">
        <f t="shared" si="2"/>
        <v>30</v>
      </c>
      <c r="U13" s="76"/>
      <c r="V13" s="76"/>
      <c r="W13" s="76"/>
      <c r="X13" s="76"/>
      <c r="Y13" s="76">
        <f t="shared" si="8"/>
        <v>30</v>
      </c>
      <c r="Z13" s="76">
        <f t="shared" si="9"/>
        <v>11196</v>
      </c>
      <c r="AA13" s="81" t="s">
        <v>60</v>
      </c>
      <c r="AB13" s="82" t="s">
        <v>61</v>
      </c>
    </row>
    <row r="14" s="42" customFormat="1" ht="18" customHeight="1" spans="1:29">
      <c r="A14" s="57">
        <v>9</v>
      </c>
      <c r="B14" s="75" t="s">
        <v>62</v>
      </c>
      <c r="C14" s="76" t="s">
        <v>52</v>
      </c>
      <c r="D14" s="77">
        <v>11000</v>
      </c>
      <c r="E14" s="77">
        <v>11000</v>
      </c>
      <c r="F14" s="77"/>
      <c r="G14" s="77"/>
      <c r="H14" s="77"/>
      <c r="I14" s="78">
        <v>31</v>
      </c>
      <c r="J14" s="77"/>
      <c r="K14" s="77"/>
      <c r="L14" s="77"/>
      <c r="M14" s="77"/>
      <c r="N14" s="77"/>
      <c r="O14" s="77"/>
      <c r="P14" s="76">
        <f t="shared" si="7"/>
        <v>11000</v>
      </c>
      <c r="Q14" s="76"/>
      <c r="R14" s="76"/>
      <c r="S14" s="79">
        <f t="shared" si="1"/>
        <v>0</v>
      </c>
      <c r="T14" s="80">
        <f t="shared" si="2"/>
        <v>30</v>
      </c>
      <c r="U14" s="76"/>
      <c r="V14" s="76"/>
      <c r="W14" s="76"/>
      <c r="X14" s="76"/>
      <c r="Y14" s="76">
        <f t="shared" si="8"/>
        <v>30</v>
      </c>
      <c r="Z14" s="76">
        <f t="shared" si="9"/>
        <v>10970</v>
      </c>
      <c r="AA14" s="81" t="s">
        <v>63</v>
      </c>
      <c r="AB14" s="82" t="s">
        <v>64</v>
      </c>
    </row>
    <row r="15" s="42" customFormat="1" ht="18" customHeight="1" spans="1:29">
      <c r="A15" s="57">
        <v>10</v>
      </c>
      <c r="B15" s="75" t="s">
        <v>65</v>
      </c>
      <c r="C15" s="76" t="s">
        <v>52</v>
      </c>
      <c r="D15" s="77">
        <v>15000</v>
      </c>
      <c r="E15" s="77">
        <v>15000</v>
      </c>
      <c r="F15" s="77"/>
      <c r="G15" s="77"/>
      <c r="H15" s="77"/>
      <c r="I15" s="78">
        <v>26.5</v>
      </c>
      <c r="J15" s="77"/>
      <c r="K15" s="77"/>
      <c r="L15" s="77"/>
      <c r="M15" s="77"/>
      <c r="N15" s="77"/>
      <c r="O15" s="77"/>
      <c r="P15" s="76">
        <f t="shared" si="7"/>
        <v>12823</v>
      </c>
      <c r="Q15" s="76"/>
      <c r="R15" s="76"/>
      <c r="S15" s="79">
        <f t="shared" si="1"/>
        <v>0</v>
      </c>
      <c r="T15" s="80">
        <f t="shared" si="2"/>
        <v>30</v>
      </c>
      <c r="U15" s="76"/>
      <c r="V15" s="76"/>
      <c r="W15" s="76"/>
      <c r="X15" s="76"/>
      <c r="Y15" s="76">
        <f t="shared" si="8"/>
        <v>30</v>
      </c>
      <c r="Z15" s="76">
        <f t="shared" si="9"/>
        <v>12793</v>
      </c>
      <c r="AA15" s="81" t="s">
        <v>66</v>
      </c>
      <c r="AB15" s="82" t="s">
        <v>47</v>
      </c>
    </row>
    <row r="16" s="43" customFormat="1" ht="18" customHeight="1" spans="1:29">
      <c r="A16" s="57">
        <v>11</v>
      </c>
      <c r="B16" s="75" t="s">
        <v>67</v>
      </c>
      <c r="C16" s="76" t="s">
        <v>52</v>
      </c>
      <c r="D16" s="77">
        <v>12000</v>
      </c>
      <c r="E16" s="77">
        <v>12000</v>
      </c>
      <c r="F16" s="77"/>
      <c r="G16" s="77"/>
      <c r="H16" s="77"/>
      <c r="I16" s="78">
        <v>27.5</v>
      </c>
      <c r="J16" s="77"/>
      <c r="K16" s="77"/>
      <c r="L16" s="77"/>
      <c r="M16" s="77"/>
      <c r="N16" s="77"/>
      <c r="O16" s="77"/>
      <c r="P16" s="76">
        <f t="shared" ref="P16:P17" si="10">ROUNDUP(E16/I$5*I16+M16,0)</f>
        <v>10646</v>
      </c>
      <c r="Q16" s="76"/>
      <c r="R16" s="76"/>
      <c r="S16" s="79">
        <f t="shared" ref="S16:S17" si="11">IF(P16&gt;20001,200,IF(P16&gt;15001,150,IF(P16&lt;15000,0,)))</f>
        <v>0</v>
      </c>
      <c r="T16" s="80">
        <f t="shared" ref="T16:T17" si="12">IF(P16,IF(1,30),IF(1,0))</f>
        <v>30</v>
      </c>
      <c r="U16" s="76"/>
      <c r="V16" s="76"/>
      <c r="W16" s="76"/>
      <c r="X16" s="76"/>
      <c r="Y16" s="76">
        <f t="shared" ref="Y16:Y17" si="13">SUM(Q16:X16)</f>
        <v>30</v>
      </c>
      <c r="Z16" s="76">
        <f t="shared" ref="Z16:Z17" si="14">P16-Y16</f>
        <v>10616</v>
      </c>
      <c r="AA16" s="110" t="s">
        <v>68</v>
      </c>
      <c r="AB16" s="82" t="s">
        <v>64</v>
      </c>
      <c r="AC16" s="42"/>
    </row>
    <row r="17" s="43" customFormat="1" ht="18" customHeight="1" spans="1:34">
      <c r="A17" s="57">
        <v>12</v>
      </c>
      <c r="B17" s="75" t="s">
        <v>69</v>
      </c>
      <c r="C17" s="83" t="s">
        <v>45</v>
      </c>
      <c r="D17" s="77">
        <v>15000</v>
      </c>
      <c r="E17" s="77">
        <v>15000</v>
      </c>
      <c r="F17" s="77"/>
      <c r="G17" s="77"/>
      <c r="H17" s="77"/>
      <c r="I17" s="78">
        <v>31</v>
      </c>
      <c r="J17" s="77"/>
      <c r="K17" s="77"/>
      <c r="L17" s="77"/>
      <c r="M17" s="77"/>
      <c r="N17" s="77"/>
      <c r="O17" s="77"/>
      <c r="P17" s="76">
        <f t="shared" si="10"/>
        <v>15000</v>
      </c>
      <c r="Q17" s="76"/>
      <c r="R17" s="76"/>
      <c r="S17" s="79">
        <f t="shared" si="11"/>
        <v>0</v>
      </c>
      <c r="T17" s="80">
        <f t="shared" si="12"/>
        <v>30</v>
      </c>
      <c r="U17" s="76"/>
      <c r="V17" s="76"/>
      <c r="W17" s="76"/>
      <c r="X17" s="76"/>
      <c r="Y17" s="76">
        <f t="shared" si="13"/>
        <v>30</v>
      </c>
      <c r="Z17" s="76">
        <f t="shared" si="14"/>
        <v>14970</v>
      </c>
      <c r="AA17" s="81">
        <v>32697627032</v>
      </c>
      <c r="AB17" s="82" t="s">
        <v>50</v>
      </c>
      <c r="AC17" s="84"/>
    </row>
    <row r="18" s="42" customFormat="1" ht="18" customHeight="1" spans="1:34">
      <c r="A18" s="57">
        <v>13</v>
      </c>
      <c r="B18" s="75" t="s">
        <v>70</v>
      </c>
      <c r="C18" s="76" t="s">
        <v>71</v>
      </c>
      <c r="D18" s="77">
        <v>12000</v>
      </c>
      <c r="E18" s="77">
        <v>12000</v>
      </c>
      <c r="F18" s="77"/>
      <c r="G18" s="77"/>
      <c r="H18" s="77"/>
      <c r="I18" s="78">
        <v>26.5</v>
      </c>
      <c r="J18" s="77"/>
      <c r="K18" s="77"/>
      <c r="L18" s="77"/>
      <c r="M18" s="77"/>
      <c r="N18" s="77"/>
      <c r="O18" s="77"/>
      <c r="P18" s="76">
        <f t="shared" ref="P18:P25" si="15">ROUNDUP(E18/I$5*I18+M18,0)</f>
        <v>10259</v>
      </c>
      <c r="Q18" s="76"/>
      <c r="R18" s="76"/>
      <c r="S18" s="79">
        <f t="shared" ref="S18:S25" si="16">IF(P18&gt;20001,200,IF(P18&gt;15001,150,IF(P18&lt;15000,0,)))</f>
        <v>0</v>
      </c>
      <c r="T18" s="80">
        <f t="shared" ref="T18:T25" si="17">IF(P18,IF(1,30),IF(1,0))</f>
        <v>30</v>
      </c>
      <c r="U18" s="76"/>
      <c r="V18" s="76"/>
      <c r="W18" s="76"/>
      <c r="X18" s="76"/>
      <c r="Y18" s="76">
        <f t="shared" ref="Y18:Y25" si="18">SUM(Q18:X18)</f>
        <v>30</v>
      </c>
      <c r="Z18" s="76">
        <f t="shared" ref="Z18:Z25" si="19">P18-Y18</f>
        <v>10229</v>
      </c>
      <c r="AA18" s="81">
        <v>42535084301</v>
      </c>
      <c r="AB18" s="82" t="s">
        <v>72</v>
      </c>
      <c r="AC18" s="85"/>
    </row>
    <row r="19" s="42" customFormat="1" ht="18" customHeight="1" spans="1:34">
      <c r="A19" s="57">
        <v>14</v>
      </c>
      <c r="B19" s="75" t="s">
        <v>73</v>
      </c>
      <c r="C19" s="76" t="s">
        <v>71</v>
      </c>
      <c r="D19" s="77">
        <v>11000</v>
      </c>
      <c r="E19" s="77">
        <v>11000</v>
      </c>
      <c r="F19" s="77"/>
      <c r="G19" s="77"/>
      <c r="H19" s="77"/>
      <c r="I19" s="78">
        <v>30</v>
      </c>
      <c r="J19" s="77"/>
      <c r="K19" s="77"/>
      <c r="L19" s="77"/>
      <c r="M19" s="77"/>
      <c r="N19" s="77"/>
      <c r="O19" s="77"/>
      <c r="P19" s="76">
        <f t="shared" si="15"/>
        <v>10646</v>
      </c>
      <c r="Q19" s="76"/>
      <c r="R19" s="76"/>
      <c r="S19" s="79">
        <f t="shared" si="16"/>
        <v>0</v>
      </c>
      <c r="T19" s="80">
        <f t="shared" si="17"/>
        <v>30</v>
      </c>
      <c r="U19" s="76"/>
      <c r="V19" s="76"/>
      <c r="W19" s="76"/>
      <c r="X19" s="76"/>
      <c r="Y19" s="76">
        <f t="shared" si="18"/>
        <v>30</v>
      </c>
      <c r="Z19" s="76">
        <f t="shared" si="19"/>
        <v>10616</v>
      </c>
      <c r="AA19" s="110" t="s">
        <v>74</v>
      </c>
      <c r="AB19" s="82" t="s">
        <v>75</v>
      </c>
      <c r="AC19" s="85"/>
    </row>
    <row r="20" s="42" customFormat="1" ht="18" customHeight="1" spans="1:34">
      <c r="A20" s="57">
        <v>15</v>
      </c>
      <c r="B20" s="75" t="s">
        <v>76</v>
      </c>
      <c r="C20" s="76" t="s">
        <v>71</v>
      </c>
      <c r="D20" s="77">
        <v>11000</v>
      </c>
      <c r="E20" s="77">
        <v>11000</v>
      </c>
      <c r="F20" s="77"/>
      <c r="G20" s="77"/>
      <c r="H20" s="77"/>
      <c r="I20" s="78">
        <v>31</v>
      </c>
      <c r="J20" s="77"/>
      <c r="K20" s="77"/>
      <c r="L20" s="77"/>
      <c r="M20" s="77"/>
      <c r="N20" s="77"/>
      <c r="O20" s="77"/>
      <c r="P20" s="76">
        <f t="shared" si="15"/>
        <v>11000</v>
      </c>
      <c r="Q20" s="76"/>
      <c r="R20" s="76"/>
      <c r="S20" s="79">
        <f t="shared" si="16"/>
        <v>0</v>
      </c>
      <c r="T20" s="80">
        <f t="shared" si="17"/>
        <v>30</v>
      </c>
      <c r="U20" s="76"/>
      <c r="V20" s="76"/>
      <c r="W20" s="76"/>
      <c r="X20" s="76"/>
      <c r="Y20" s="76">
        <f t="shared" si="18"/>
        <v>30</v>
      </c>
      <c r="Z20" s="76">
        <f t="shared" si="19"/>
        <v>10970</v>
      </c>
      <c r="AA20" s="81">
        <v>110258842615</v>
      </c>
      <c r="AB20" s="82" t="s">
        <v>58</v>
      </c>
      <c r="AC20" s="85"/>
    </row>
    <row r="21" s="42" customFormat="1" ht="18" customHeight="1" spans="1:34">
      <c r="A21" s="57">
        <v>16</v>
      </c>
      <c r="B21" s="75" t="s">
        <v>77</v>
      </c>
      <c r="C21" s="76" t="s">
        <v>71</v>
      </c>
      <c r="D21" s="77">
        <v>10000</v>
      </c>
      <c r="E21" s="77">
        <v>10000</v>
      </c>
      <c r="F21" s="77"/>
      <c r="G21" s="77"/>
      <c r="H21" s="77"/>
      <c r="I21" s="78">
        <v>31</v>
      </c>
      <c r="J21" s="77"/>
      <c r="K21" s="77"/>
      <c r="L21" s="77"/>
      <c r="M21" s="77"/>
      <c r="N21" s="77"/>
      <c r="O21" s="77"/>
      <c r="P21" s="76">
        <f t="shared" si="15"/>
        <v>10000</v>
      </c>
      <c r="Q21" s="76"/>
      <c r="R21" s="76"/>
      <c r="S21" s="79">
        <f t="shared" si="16"/>
        <v>0</v>
      </c>
      <c r="T21" s="80">
        <f t="shared" si="17"/>
        <v>30</v>
      </c>
      <c r="U21" s="76"/>
      <c r="V21" s="76"/>
      <c r="W21" s="76"/>
      <c r="X21" s="76"/>
      <c r="Y21" s="76">
        <f t="shared" si="18"/>
        <v>30</v>
      </c>
      <c r="Z21" s="76">
        <f t="shared" si="19"/>
        <v>9970</v>
      </c>
      <c r="AA21" s="81">
        <v>641110005513175</v>
      </c>
      <c r="AB21" s="82" t="s">
        <v>78</v>
      </c>
      <c r="AC21" s="85"/>
    </row>
    <row r="22" s="42" customFormat="1" ht="18" customHeight="1" spans="1:34">
      <c r="A22" s="57">
        <v>17</v>
      </c>
      <c r="B22" s="75" t="s">
        <v>79</v>
      </c>
      <c r="C22" s="76" t="s">
        <v>71</v>
      </c>
      <c r="D22" s="77">
        <v>11000</v>
      </c>
      <c r="E22" s="77">
        <v>11000</v>
      </c>
      <c r="F22" s="77"/>
      <c r="G22" s="77"/>
      <c r="H22" s="77"/>
      <c r="I22" s="78">
        <v>30</v>
      </c>
      <c r="J22" s="77"/>
      <c r="K22" s="77"/>
      <c r="L22" s="77"/>
      <c r="M22" s="77"/>
      <c r="N22" s="77"/>
      <c r="O22" s="77"/>
      <c r="P22" s="76">
        <f t="shared" si="15"/>
        <v>10646</v>
      </c>
      <c r="Q22" s="76"/>
      <c r="R22" s="76"/>
      <c r="S22" s="79">
        <f t="shared" si="16"/>
        <v>0</v>
      </c>
      <c r="T22" s="80">
        <f t="shared" si="17"/>
        <v>30</v>
      </c>
      <c r="U22" s="76"/>
      <c r="V22" s="76"/>
      <c r="W22" s="76"/>
      <c r="X22" s="76"/>
      <c r="Y22" s="76">
        <f t="shared" si="18"/>
        <v>30</v>
      </c>
      <c r="Z22" s="76">
        <f t="shared" si="19"/>
        <v>10616</v>
      </c>
      <c r="AA22" s="81">
        <v>38789198795</v>
      </c>
      <c r="AB22" s="82" t="s">
        <v>80</v>
      </c>
      <c r="AC22" s="85"/>
    </row>
    <row r="23" s="42" customFormat="1" ht="18" customHeight="1" spans="1:34">
      <c r="A23" s="57">
        <v>18</v>
      </c>
      <c r="B23" s="75" t="s">
        <v>81</v>
      </c>
      <c r="C23" s="76" t="s">
        <v>71</v>
      </c>
      <c r="D23" s="77">
        <v>11000</v>
      </c>
      <c r="E23" s="77">
        <v>11000</v>
      </c>
      <c r="F23" s="77"/>
      <c r="G23" s="77"/>
      <c r="H23" s="77"/>
      <c r="I23" s="78">
        <v>31</v>
      </c>
      <c r="J23" s="77"/>
      <c r="K23" s="77"/>
      <c r="L23" s="77"/>
      <c r="M23" s="77"/>
      <c r="N23" s="77"/>
      <c r="O23" s="77"/>
      <c r="P23" s="76">
        <f t="shared" si="15"/>
        <v>11000</v>
      </c>
      <c r="Q23" s="76"/>
      <c r="R23" s="76"/>
      <c r="S23" s="79">
        <f t="shared" si="16"/>
        <v>0</v>
      </c>
      <c r="T23" s="80">
        <f t="shared" si="17"/>
        <v>30</v>
      </c>
      <c r="U23" s="76"/>
      <c r="V23" s="76"/>
      <c r="W23" s="76"/>
      <c r="X23" s="76"/>
      <c r="Y23" s="76">
        <f t="shared" si="18"/>
        <v>30</v>
      </c>
      <c r="Z23" s="76">
        <f t="shared" si="19"/>
        <v>10970</v>
      </c>
      <c r="AA23" s="81">
        <v>42755006239</v>
      </c>
      <c r="AB23" s="82" t="s">
        <v>82</v>
      </c>
      <c r="AC23" s="85"/>
    </row>
    <row r="24" s="42" customFormat="1" ht="18" customHeight="1" spans="1:34">
      <c r="A24" s="57">
        <v>19</v>
      </c>
      <c r="B24" s="75" t="s">
        <v>83</v>
      </c>
      <c r="C24" s="76" t="s">
        <v>71</v>
      </c>
      <c r="D24" s="77">
        <v>14000</v>
      </c>
      <c r="E24" s="77">
        <v>14000</v>
      </c>
      <c r="F24" s="77"/>
      <c r="G24" s="77"/>
      <c r="H24" s="77"/>
      <c r="I24" s="78">
        <v>31</v>
      </c>
      <c r="J24" s="77"/>
      <c r="K24" s="77"/>
      <c r="L24" s="77"/>
      <c r="M24" s="77"/>
      <c r="N24" s="77"/>
      <c r="O24" s="77"/>
      <c r="P24" s="76">
        <f t="shared" si="15"/>
        <v>14000</v>
      </c>
      <c r="Q24" s="76"/>
      <c r="R24" s="76"/>
      <c r="S24" s="79">
        <f t="shared" si="16"/>
        <v>0</v>
      </c>
      <c r="T24" s="80">
        <f t="shared" si="17"/>
        <v>30</v>
      </c>
      <c r="U24" s="76"/>
      <c r="V24" s="76"/>
      <c r="W24" s="76"/>
      <c r="X24" s="76"/>
      <c r="Y24" s="76">
        <f t="shared" si="18"/>
        <v>30</v>
      </c>
      <c r="Z24" s="76">
        <f t="shared" si="19"/>
        <v>13970</v>
      </c>
      <c r="AA24" s="81">
        <v>6594132038</v>
      </c>
      <c r="AB24" s="82" t="s">
        <v>84</v>
      </c>
      <c r="AC24" s="85"/>
    </row>
    <row r="25" ht="18" customHeight="1" spans="1:34">
      <c r="A25" s="57">
        <v>20</v>
      </c>
      <c r="B25" s="65" t="s">
        <v>85</v>
      </c>
      <c r="C25" s="66" t="s">
        <v>71</v>
      </c>
      <c r="D25" s="67">
        <v>12000</v>
      </c>
      <c r="E25" s="67">
        <v>12000</v>
      </c>
      <c r="F25" s="67"/>
      <c r="G25" s="67"/>
      <c r="H25" s="67"/>
      <c r="I25" s="68">
        <v>31</v>
      </c>
      <c r="J25" s="67"/>
      <c r="K25" s="67"/>
      <c r="L25" s="67"/>
      <c r="M25" s="67"/>
      <c r="N25" s="67"/>
      <c r="O25" s="67"/>
      <c r="P25" s="66">
        <f t="shared" si="15"/>
        <v>12000</v>
      </c>
      <c r="Q25" s="66"/>
      <c r="R25" s="66"/>
      <c r="S25" s="69">
        <f t="shared" si="16"/>
        <v>0</v>
      </c>
      <c r="T25" s="70">
        <f t="shared" si="17"/>
        <v>30</v>
      </c>
      <c r="U25" s="66"/>
      <c r="V25" s="66"/>
      <c r="W25" s="66"/>
      <c r="X25" s="66"/>
      <c r="Y25" s="66">
        <f t="shared" si="18"/>
        <v>30</v>
      </c>
      <c r="Z25" s="66">
        <f t="shared" si="19"/>
        <v>11970</v>
      </c>
      <c r="AA25" s="108" t="s">
        <v>86</v>
      </c>
      <c r="AB25" s="72" t="s">
        <v>87</v>
      </c>
    </row>
    <row r="26" ht="18" customHeight="1" spans="1:34">
      <c r="A26" s="62"/>
      <c r="B26" s="86" t="s">
        <v>88</v>
      </c>
      <c r="C26" s="87"/>
      <c r="D26" s="62">
        <f>SUM(D6:D25)</f>
        <v>409000</v>
      </c>
      <c r="E26" s="62">
        <f>SUM(E6:E25)</f>
        <v>409000</v>
      </c>
      <c r="F26" s="62">
        <f>SUM(F6:F24)</f>
        <v>0</v>
      </c>
      <c r="G26" s="62">
        <f>SUM(G6:G24)</f>
        <v>0</v>
      </c>
      <c r="H26" s="62">
        <f>SUM(H6:H24)</f>
        <v>0</v>
      </c>
      <c r="I26" s="62"/>
      <c r="J26" s="62">
        <f>SUM(J6:J24)</f>
        <v>0</v>
      </c>
      <c r="K26" s="62">
        <f>SUM(K6:K24)</f>
        <v>0</v>
      </c>
      <c r="L26" s="62">
        <f>SUM(L6:L24)</f>
        <v>0</v>
      </c>
      <c r="M26" s="62"/>
      <c r="N26" s="62">
        <f t="shared" ref="M26:Z26" si="20">SUM(N6:N25)</f>
        <v>0</v>
      </c>
      <c r="O26" s="62">
        <f t="shared" si="20"/>
        <v>0</v>
      </c>
      <c r="P26" s="62">
        <f t="shared" si="20"/>
        <v>400296</v>
      </c>
      <c r="Q26" s="62">
        <f t="shared" si="20"/>
        <v>0</v>
      </c>
      <c r="R26" s="62">
        <f t="shared" si="20"/>
        <v>0</v>
      </c>
      <c r="S26" s="62">
        <f t="shared" si="20"/>
        <v>1000</v>
      </c>
      <c r="T26" s="62">
        <f t="shared" si="20"/>
        <v>600</v>
      </c>
      <c r="U26" s="62">
        <f t="shared" si="20"/>
        <v>0</v>
      </c>
      <c r="V26" s="62">
        <f t="shared" si="20"/>
        <v>0</v>
      </c>
      <c r="W26" s="62">
        <f t="shared" si="20"/>
        <v>0</v>
      </c>
      <c r="X26" s="62">
        <f t="shared" si="20"/>
        <v>0</v>
      </c>
      <c r="Y26" s="62">
        <f t="shared" si="20"/>
        <v>1600</v>
      </c>
      <c r="Z26" s="62">
        <f t="shared" si="20"/>
        <v>398696</v>
      </c>
      <c r="AA26" s="88"/>
      <c r="AB26" s="62"/>
    </row>
    <row r="27" ht="13.5" customHeight="1" spans="1:34">
      <c r="A27" s="89"/>
      <c r="B27" s="90"/>
      <c r="C27" s="91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92"/>
      <c r="AB27" s="89"/>
    </row>
    <row r="28" ht="61.5" customHeight="1" spans="1:34">
      <c r="A28" s="93" t="s">
        <v>89</v>
      </c>
      <c r="B28" s="93"/>
      <c r="C28" s="93" t="s">
        <v>90</v>
      </c>
      <c r="D28" s="94"/>
      <c r="E28" s="95" t="s">
        <v>90</v>
      </c>
      <c r="F28" s="95"/>
      <c r="G28" s="95"/>
      <c r="H28" s="95"/>
      <c r="I28" s="95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7"/>
      <c r="AB28" s="97"/>
      <c r="AC28" s="98"/>
      <c r="AD28" s="99"/>
      <c r="AE28" s="98"/>
      <c r="AF28" s="100"/>
      <c r="AG28" s="98"/>
      <c r="AH28" s="98"/>
    </row>
    <row r="29" s="44" customFormat="1" ht="18" customHeight="1" spans="1:34">
      <c r="A29" s="101" t="s">
        <v>91</v>
      </c>
      <c r="B29" s="101"/>
      <c r="C29" s="101" t="s">
        <v>92</v>
      </c>
      <c r="D29" s="102"/>
      <c r="E29" s="101" t="s">
        <v>93</v>
      </c>
      <c r="F29" s="101"/>
      <c r="G29" s="101"/>
      <c r="H29" s="101"/>
      <c r="I29" s="101"/>
      <c r="J29" s="101"/>
      <c r="K29" s="101"/>
      <c r="M29" s="101"/>
      <c r="N29" s="103"/>
      <c r="O29" s="103"/>
      <c r="Q29" s="101" t="s">
        <v>94</v>
      </c>
      <c r="R29" s="101"/>
      <c r="S29" s="101"/>
      <c r="T29" s="101"/>
      <c r="U29" s="101"/>
      <c r="V29" s="101"/>
      <c r="W29" s="101"/>
      <c r="X29" s="101"/>
      <c r="Y29" s="101"/>
      <c r="AA29" s="101" t="s">
        <v>95</v>
      </c>
      <c r="AB29" s="103"/>
    </row>
    <row r="30" ht="30" customHeight="1" spans="1:34">
      <c r="A30" s="98"/>
      <c r="B30" s="104"/>
      <c r="C30" s="105"/>
      <c r="D30" s="98"/>
      <c r="E30" s="98"/>
      <c r="F30" s="98"/>
      <c r="G30" s="98"/>
      <c r="H30" s="98"/>
      <c r="I30" s="106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89"/>
      <c r="AB30" s="98"/>
    </row>
    <row r="31" ht="30" customHeight="1" spans="1:34">
      <c r="A31" s="98"/>
      <c r="B31" s="104"/>
      <c r="C31" s="105"/>
      <c r="D31" s="98"/>
      <c r="E31" s="98"/>
      <c r="F31" s="98"/>
      <c r="G31" s="98"/>
      <c r="H31" s="98"/>
      <c r="I31" s="106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107"/>
      <c r="W31" s="98"/>
      <c r="X31" s="98"/>
      <c r="Y31" s="98"/>
      <c r="Z31" s="98"/>
      <c r="AA31" s="106"/>
      <c r="AB31" s="98"/>
    </row>
    <row r="32" ht="30" customHeight="1" spans="1:34">
      <c r="A32" s="98"/>
      <c r="B32" s="104"/>
      <c r="C32" s="105"/>
      <c r="D32" s="98"/>
      <c r="E32" s="98"/>
      <c r="F32" s="98"/>
      <c r="G32" s="98"/>
      <c r="H32" s="98"/>
      <c r="I32" s="106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107"/>
      <c r="AA32" s="106"/>
      <c r="AB32" s="98"/>
    </row>
    <row r="33" ht="30" customHeight="1" spans="1:28">
      <c r="A33" s="98"/>
      <c r="B33" s="104"/>
      <c r="C33" s="105"/>
      <c r="D33" s="98"/>
      <c r="E33" s="98"/>
      <c r="F33" s="98"/>
      <c r="G33" s="98"/>
      <c r="H33" s="98"/>
      <c r="I33" s="106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106"/>
      <c r="AB33" s="98"/>
    </row>
    <row r="34" ht="30" customHeight="1" spans="1:28">
      <c r="A34" s="98"/>
      <c r="B34" s="104"/>
      <c r="C34" s="105"/>
      <c r="D34" s="98"/>
      <c r="E34" s="98"/>
      <c r="F34" s="98"/>
      <c r="G34" s="98"/>
      <c r="H34" s="98"/>
      <c r="I34" s="106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106"/>
      <c r="AB34" s="98"/>
    </row>
    <row r="35" ht="30" customHeight="1" spans="1:28">
      <c r="A35" s="98"/>
      <c r="B35" s="104"/>
      <c r="C35" s="105"/>
      <c r="D35" s="98"/>
      <c r="E35" s="98"/>
      <c r="F35" s="98"/>
      <c r="G35" s="98"/>
      <c r="H35" s="98"/>
      <c r="I35" s="106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106"/>
      <c r="AB35" s="98"/>
    </row>
  </sheetData>
  <mergeCells count="7">
    <mergeCell ref="A1:AB1"/>
    <mergeCell ref="A2:AB2"/>
    <mergeCell ref="A28:B28"/>
    <mergeCell ref="E28:I28"/>
    <mergeCell ref="A29:B29"/>
    <mergeCell ref="E29:I29"/>
    <mergeCell ref="Q29:Y29"/>
  </mergeCells>
  <printOptions horizontalCentered="1"/>
  <pageMargins left="0.433070866141732" right="0" top="0.118110236220472" bottom="0" header="0" footer="0"/>
  <pageSetup paperSize="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68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42727272727273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96</v>
      </c>
      <c r="G1" s="2"/>
      <c r="H1" s="2"/>
      <c r="I1" s="2"/>
      <c r="J1" s="2"/>
      <c r="K1" s="2"/>
    </row>
    <row r="2" ht="22.5" customHeight="1" spans="1:11">
      <c r="A2" s="1" t="s">
        <v>97</v>
      </c>
      <c r="G2" s="2"/>
      <c r="H2" s="2"/>
      <c r="I2" s="2"/>
      <c r="J2" s="2"/>
      <c r="K2" s="2"/>
    </row>
    <row r="3" ht="28.5" customHeight="1" spans="1:11">
      <c r="A3" s="3" t="s">
        <v>98</v>
      </c>
      <c r="B3" s="4" t="s">
        <v>3</v>
      </c>
      <c r="C3" s="3" t="s">
        <v>4</v>
      </c>
      <c r="D3" s="3" t="s">
        <v>5</v>
      </c>
      <c r="E3" s="3" t="s">
        <v>27</v>
      </c>
      <c r="F3" s="5" t="s">
        <v>28</v>
      </c>
      <c r="G3" s="2"/>
      <c r="H3" s="2"/>
      <c r="I3" s="2"/>
      <c r="J3" s="2"/>
      <c r="K3" s="2"/>
    </row>
    <row r="4" ht="21.75" customHeight="1" spans="1:11">
      <c r="A4" s="6"/>
      <c r="B4" s="4" t="s">
        <v>99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19">
        <v>1</v>
      </c>
      <c r="B5" s="37" t="s">
        <v>100</v>
      </c>
      <c r="C5" s="38" t="s">
        <v>94</v>
      </c>
      <c r="D5" s="19">
        <v>160000</v>
      </c>
      <c r="E5" s="38"/>
      <c r="F5" s="111" t="s">
        <v>101</v>
      </c>
      <c r="G5" s="2">
        <f t="shared" ref="G5:G72" si="0">ROUND(E5/2,0)</f>
        <v>0</v>
      </c>
      <c r="H5" s="2"/>
      <c r="I5" s="2"/>
      <c r="J5" s="2"/>
      <c r="K5" s="2"/>
    </row>
    <row r="6" ht="28.5" customHeight="1" spans="1:11">
      <c r="A6" s="19">
        <v>2</v>
      </c>
      <c r="B6" s="37" t="s">
        <v>102</v>
      </c>
      <c r="C6" s="38" t="s">
        <v>103</v>
      </c>
      <c r="D6" s="19">
        <v>100106</v>
      </c>
      <c r="E6" s="38">
        <v>99831</v>
      </c>
      <c r="F6" s="111" t="s">
        <v>104</v>
      </c>
      <c r="G6" s="2">
        <f t="shared" si="0"/>
        <v>49916</v>
      </c>
      <c r="H6" s="2"/>
      <c r="I6" s="2"/>
      <c r="J6" s="2"/>
      <c r="K6" s="2"/>
    </row>
    <row r="7" ht="28.5" customHeight="1" spans="1:11">
      <c r="A7" s="19">
        <v>3</v>
      </c>
      <c r="B7" s="37" t="s">
        <v>105</v>
      </c>
      <c r="C7" s="38" t="s">
        <v>103</v>
      </c>
      <c r="D7" s="19">
        <v>45000</v>
      </c>
      <c r="E7" s="38">
        <v>44725</v>
      </c>
      <c r="F7" s="111" t="s">
        <v>106</v>
      </c>
      <c r="G7" s="2">
        <f t="shared" si="0"/>
        <v>22363</v>
      </c>
      <c r="H7" s="2"/>
      <c r="I7" s="2"/>
      <c r="J7" s="2"/>
      <c r="K7" s="2"/>
    </row>
    <row r="8" ht="28.5" customHeight="1" spans="1:11">
      <c r="A8" s="19">
        <v>4</v>
      </c>
      <c r="B8" s="37" t="s">
        <v>107</v>
      </c>
      <c r="C8" s="38" t="s">
        <v>108</v>
      </c>
      <c r="D8" s="19">
        <v>47667</v>
      </c>
      <c r="E8" s="38">
        <v>47392</v>
      </c>
      <c r="F8" s="111" t="s">
        <v>109</v>
      </c>
      <c r="G8" s="2">
        <f t="shared" si="0"/>
        <v>23696</v>
      </c>
      <c r="H8" s="2"/>
      <c r="I8" s="2"/>
      <c r="J8" s="2"/>
      <c r="K8" s="2"/>
    </row>
    <row r="9" ht="28.5" customHeight="1" spans="1:11">
      <c r="A9" s="19">
        <v>5</v>
      </c>
      <c r="B9" s="37" t="s">
        <v>110</v>
      </c>
      <c r="C9" s="38" t="s">
        <v>108</v>
      </c>
      <c r="D9" s="19">
        <v>43206</v>
      </c>
      <c r="E9" s="38">
        <v>42931</v>
      </c>
      <c r="F9" s="111" t="s">
        <v>111</v>
      </c>
      <c r="G9" s="2">
        <f t="shared" si="0"/>
        <v>21466</v>
      </c>
      <c r="H9" s="2"/>
      <c r="I9" s="2"/>
      <c r="J9" s="2"/>
      <c r="K9" s="2"/>
    </row>
    <row r="10" ht="28.5" customHeight="1" spans="1:11">
      <c r="A10" s="19">
        <v>6</v>
      </c>
      <c r="B10" s="37" t="s">
        <v>112</v>
      </c>
      <c r="C10" s="38" t="s">
        <v>108</v>
      </c>
      <c r="D10" s="19">
        <v>32460</v>
      </c>
      <c r="E10" s="38">
        <v>32185</v>
      </c>
      <c r="F10" s="111" t="s">
        <v>113</v>
      </c>
      <c r="G10" s="2">
        <f t="shared" si="0"/>
        <v>16093</v>
      </c>
      <c r="H10" s="2"/>
      <c r="I10" s="2"/>
      <c r="J10" s="2"/>
      <c r="K10" s="2"/>
    </row>
    <row r="11" ht="28.5" customHeight="1" spans="1:11">
      <c r="A11" s="19">
        <v>7</v>
      </c>
      <c r="B11" s="37" t="s">
        <v>114</v>
      </c>
      <c r="C11" s="38" t="s">
        <v>108</v>
      </c>
      <c r="D11" s="38">
        <v>18000</v>
      </c>
      <c r="E11" s="38">
        <v>17775</v>
      </c>
      <c r="F11" s="111" t="s">
        <v>115</v>
      </c>
      <c r="G11" s="2">
        <f t="shared" si="0"/>
        <v>8888</v>
      </c>
      <c r="H11" s="2"/>
      <c r="I11" s="2"/>
      <c r="J11" s="2"/>
      <c r="K11" s="2"/>
    </row>
    <row r="12" ht="28.5" customHeight="1" spans="1:11">
      <c r="A12" s="19">
        <v>8</v>
      </c>
      <c r="B12" s="37" t="s">
        <v>116</v>
      </c>
      <c r="C12" s="38" t="s">
        <v>108</v>
      </c>
      <c r="D12" s="38">
        <v>18000</v>
      </c>
      <c r="E12" s="38">
        <v>17775</v>
      </c>
      <c r="F12" s="111" t="s">
        <v>117</v>
      </c>
      <c r="G12" s="2">
        <f t="shared" si="0"/>
        <v>8888</v>
      </c>
      <c r="H12" s="2"/>
      <c r="I12" s="2"/>
      <c r="J12" s="2"/>
      <c r="K12" s="2"/>
    </row>
    <row r="13" ht="28.5" customHeight="1" spans="1:11">
      <c r="A13" s="23">
        <v>9</v>
      </c>
      <c r="B13" s="24" t="s">
        <v>118</v>
      </c>
      <c r="C13" s="25" t="s">
        <v>108</v>
      </c>
      <c r="D13" s="25">
        <v>40000</v>
      </c>
      <c r="E13" s="25">
        <v>39725</v>
      </c>
      <c r="F13" s="112" t="s">
        <v>119</v>
      </c>
      <c r="G13" s="27">
        <f t="shared" si="0"/>
        <v>19863</v>
      </c>
      <c r="H13" s="27"/>
      <c r="I13" s="27"/>
      <c r="J13" s="27"/>
      <c r="K13" s="27"/>
    </row>
    <row r="14" ht="28.5" customHeight="1" spans="1:11">
      <c r="A14" s="23">
        <v>10</v>
      </c>
      <c r="B14" s="24" t="s">
        <v>120</v>
      </c>
      <c r="C14" s="25" t="s">
        <v>108</v>
      </c>
      <c r="D14" s="25">
        <v>23000</v>
      </c>
      <c r="E14" s="25">
        <v>22725</v>
      </c>
      <c r="F14" s="112" t="s">
        <v>121</v>
      </c>
      <c r="G14" s="27">
        <f t="shared" si="0"/>
        <v>11363</v>
      </c>
      <c r="H14" s="27"/>
      <c r="I14" s="27"/>
      <c r="J14" s="27"/>
      <c r="K14" s="27"/>
    </row>
    <row r="15" ht="28.5" customHeight="1" spans="1:11">
      <c r="A15" s="19">
        <v>11</v>
      </c>
      <c r="B15" s="32" t="s">
        <v>122</v>
      </c>
      <c r="C15" s="38" t="s">
        <v>108</v>
      </c>
      <c r="D15" s="38">
        <v>22000</v>
      </c>
      <c r="E15" s="38">
        <v>21725</v>
      </c>
      <c r="F15" s="111" t="s">
        <v>123</v>
      </c>
      <c r="G15" s="2">
        <f t="shared" si="0"/>
        <v>10863</v>
      </c>
      <c r="H15" s="2"/>
      <c r="I15" s="2"/>
      <c r="J15" s="2"/>
      <c r="K15" s="2"/>
    </row>
    <row r="16" ht="28.5" customHeight="1" spans="1:11">
      <c r="A16" s="19">
        <v>12</v>
      </c>
      <c r="B16" s="32" t="s">
        <v>124</v>
      </c>
      <c r="C16" s="38" t="s">
        <v>103</v>
      </c>
      <c r="D16" s="38">
        <v>65000</v>
      </c>
      <c r="E16" s="38">
        <v>61725</v>
      </c>
      <c r="F16" s="113" t="s">
        <v>125</v>
      </c>
      <c r="G16" s="2">
        <f t="shared" si="0"/>
        <v>30863</v>
      </c>
      <c r="H16" s="2"/>
      <c r="I16" s="2"/>
      <c r="J16" s="2"/>
      <c r="K16" s="2"/>
    </row>
    <row r="17" ht="28.5" customHeight="1" spans="1:11">
      <c r="A17" s="19">
        <v>13</v>
      </c>
      <c r="B17" s="37" t="s">
        <v>126</v>
      </c>
      <c r="C17" s="38" t="s">
        <v>127</v>
      </c>
      <c r="D17" s="19">
        <v>89961</v>
      </c>
      <c r="E17" s="38">
        <v>86086</v>
      </c>
      <c r="F17" s="114" t="s">
        <v>128</v>
      </c>
      <c r="G17" s="2">
        <f t="shared" si="0"/>
        <v>43043</v>
      </c>
      <c r="H17" s="2"/>
      <c r="I17" s="2"/>
      <c r="J17" s="2"/>
      <c r="K17" s="2"/>
    </row>
    <row r="18" ht="28.5" customHeight="1" spans="1:11">
      <c r="A18" s="19">
        <v>14</v>
      </c>
      <c r="B18" s="37" t="s">
        <v>129</v>
      </c>
      <c r="C18" s="38" t="s">
        <v>103</v>
      </c>
      <c r="D18" s="19">
        <v>51841</v>
      </c>
      <c r="E18" s="38">
        <v>47966</v>
      </c>
      <c r="F18" s="114" t="s">
        <v>130</v>
      </c>
      <c r="G18" s="2">
        <f t="shared" si="0"/>
        <v>23983</v>
      </c>
      <c r="H18" s="2"/>
      <c r="I18" s="2"/>
      <c r="J18" s="2"/>
      <c r="K18" s="2"/>
    </row>
    <row r="19" ht="28.5" customHeight="1" spans="1:11">
      <c r="A19" s="19">
        <v>15</v>
      </c>
      <c r="B19" s="37" t="s">
        <v>131</v>
      </c>
      <c r="C19" s="38" t="s">
        <v>103</v>
      </c>
      <c r="D19" s="19">
        <v>55000</v>
      </c>
      <c r="E19" s="38">
        <v>54725</v>
      </c>
      <c r="F19" s="114" t="s">
        <v>132</v>
      </c>
      <c r="G19" s="2">
        <f t="shared" si="0"/>
        <v>27363</v>
      </c>
      <c r="H19" s="2"/>
      <c r="I19" s="2"/>
      <c r="J19" s="2"/>
      <c r="K19" s="2"/>
    </row>
    <row r="20" ht="28.5" customHeight="1" spans="1:11">
      <c r="A20" s="19">
        <v>16</v>
      </c>
      <c r="B20" s="37" t="s">
        <v>133</v>
      </c>
      <c r="C20" s="38" t="s">
        <v>103</v>
      </c>
      <c r="D20" s="19">
        <v>52000</v>
      </c>
      <c r="E20" s="38">
        <v>51725</v>
      </c>
      <c r="F20" s="19"/>
      <c r="G20" s="2">
        <f t="shared" si="0"/>
        <v>25863</v>
      </c>
      <c r="H20" s="2"/>
      <c r="I20" s="2"/>
      <c r="J20" s="2"/>
      <c r="K20" s="2"/>
    </row>
    <row r="21" ht="28.5" customHeight="1" spans="1:11">
      <c r="A21" s="7">
        <v>17</v>
      </c>
      <c r="B21" s="8" t="s">
        <v>134</v>
      </c>
      <c r="C21" s="9" t="s">
        <v>103</v>
      </c>
      <c r="D21" s="7">
        <v>44332</v>
      </c>
      <c r="E21" s="9">
        <v>44057</v>
      </c>
      <c r="F21" s="115" t="s">
        <v>135</v>
      </c>
      <c r="G21" s="10">
        <f t="shared" si="0"/>
        <v>22029</v>
      </c>
      <c r="H21" s="10"/>
      <c r="I21" s="10"/>
      <c r="J21" s="10"/>
      <c r="K21" s="10"/>
    </row>
    <row r="22" ht="28.5" customHeight="1" spans="1:11">
      <c r="A22" s="19">
        <v>18</v>
      </c>
      <c r="B22" s="37" t="s">
        <v>136</v>
      </c>
      <c r="C22" s="38" t="s">
        <v>103</v>
      </c>
      <c r="D22" s="19">
        <v>60000</v>
      </c>
      <c r="E22" s="38">
        <v>59725</v>
      </c>
      <c r="F22" s="114" t="s">
        <v>137</v>
      </c>
      <c r="G22" s="2">
        <f t="shared" si="0"/>
        <v>29863</v>
      </c>
      <c r="H22" s="2"/>
      <c r="I22" s="2"/>
      <c r="J22" s="2"/>
      <c r="K22" s="2"/>
    </row>
    <row r="23" ht="28.5" customHeight="1" spans="1:11">
      <c r="A23" s="19">
        <v>19</v>
      </c>
      <c r="B23" s="37" t="s">
        <v>138</v>
      </c>
      <c r="C23" s="38" t="s">
        <v>103</v>
      </c>
      <c r="D23" s="19">
        <v>62000</v>
      </c>
      <c r="E23" s="38">
        <v>61725</v>
      </c>
      <c r="F23" s="114" t="s">
        <v>139</v>
      </c>
      <c r="G23" s="2">
        <f t="shared" si="0"/>
        <v>30863</v>
      </c>
      <c r="H23" s="2"/>
      <c r="I23" s="2"/>
      <c r="J23" s="2"/>
      <c r="K23" s="2"/>
    </row>
    <row r="24" ht="28.5" customHeight="1" spans="1:11">
      <c r="A24" s="19">
        <v>20</v>
      </c>
      <c r="B24" s="37" t="s">
        <v>140</v>
      </c>
      <c r="C24" s="38" t="s">
        <v>108</v>
      </c>
      <c r="D24" s="19">
        <v>34510</v>
      </c>
      <c r="E24" s="38">
        <v>34235</v>
      </c>
      <c r="F24" s="114" t="s">
        <v>141</v>
      </c>
      <c r="G24" s="2">
        <f t="shared" si="0"/>
        <v>17118</v>
      </c>
      <c r="H24" s="2"/>
      <c r="I24" s="2"/>
      <c r="J24" s="2"/>
      <c r="K24" s="2"/>
    </row>
    <row r="25" ht="28.5" customHeight="1" spans="1:11">
      <c r="A25" s="19">
        <v>21</v>
      </c>
      <c r="B25" s="37" t="s">
        <v>142</v>
      </c>
      <c r="C25" s="38" t="s">
        <v>108</v>
      </c>
      <c r="D25" s="19">
        <v>20000</v>
      </c>
      <c r="E25" s="38">
        <v>19775</v>
      </c>
      <c r="F25" s="114" t="s">
        <v>143</v>
      </c>
      <c r="G25" s="2">
        <f t="shared" si="0"/>
        <v>9888</v>
      </c>
      <c r="H25" s="2"/>
      <c r="I25" s="2"/>
      <c r="J25" s="2"/>
      <c r="K25" s="2"/>
    </row>
    <row r="26" ht="28.5" customHeight="1" spans="1:11">
      <c r="A26" s="19">
        <v>22</v>
      </c>
      <c r="B26" s="37" t="s">
        <v>144</v>
      </c>
      <c r="C26" s="38" t="s">
        <v>108</v>
      </c>
      <c r="D26" s="19">
        <v>35000</v>
      </c>
      <c r="E26" s="38">
        <v>34725</v>
      </c>
      <c r="F26" s="114" t="s">
        <v>145</v>
      </c>
      <c r="G26" s="2">
        <f t="shared" si="0"/>
        <v>17363</v>
      </c>
      <c r="H26" s="2"/>
      <c r="I26" s="2"/>
      <c r="J26" s="2"/>
      <c r="K26" s="2"/>
    </row>
    <row r="27" ht="28.5" customHeight="1" spans="1:11">
      <c r="A27" s="23">
        <v>23</v>
      </c>
      <c r="B27" s="34" t="s">
        <v>146</v>
      </c>
      <c r="C27" s="25" t="s">
        <v>108</v>
      </c>
      <c r="D27" s="23">
        <v>18000</v>
      </c>
      <c r="E27" s="25">
        <v>17775</v>
      </c>
      <c r="F27" s="116" t="s">
        <v>147</v>
      </c>
      <c r="G27" s="27">
        <f t="shared" si="0"/>
        <v>8888</v>
      </c>
      <c r="H27" s="27"/>
      <c r="I27" s="27"/>
      <c r="J27" s="27"/>
      <c r="K27" s="27"/>
    </row>
    <row r="28" ht="28.5" customHeight="1" spans="1:11">
      <c r="A28" s="19">
        <v>24</v>
      </c>
      <c r="B28" s="37" t="s">
        <v>148</v>
      </c>
      <c r="C28" s="38" t="s">
        <v>108</v>
      </c>
      <c r="D28" s="19">
        <v>25000</v>
      </c>
      <c r="E28" s="38">
        <v>24725</v>
      </c>
      <c r="F28" s="114" t="s">
        <v>149</v>
      </c>
      <c r="G28" s="2">
        <f t="shared" si="0"/>
        <v>12363</v>
      </c>
      <c r="H28" s="2"/>
      <c r="I28" s="2"/>
      <c r="J28" s="2"/>
      <c r="K28" s="2"/>
    </row>
    <row r="29" ht="28.5" customHeight="1" spans="1:11">
      <c r="A29" s="19">
        <v>25</v>
      </c>
      <c r="B29" s="37" t="s">
        <v>150</v>
      </c>
      <c r="C29" s="38" t="s">
        <v>108</v>
      </c>
      <c r="D29" s="19">
        <v>26460</v>
      </c>
      <c r="E29" s="38">
        <v>26185</v>
      </c>
      <c r="F29" s="114" t="s">
        <v>151</v>
      </c>
      <c r="G29" s="2">
        <f t="shared" si="0"/>
        <v>13093</v>
      </c>
      <c r="H29" s="2"/>
      <c r="I29" s="2"/>
      <c r="J29" s="2"/>
      <c r="K29" s="2"/>
    </row>
    <row r="30" ht="43.5" customHeight="1" spans="1:11">
      <c r="A30" s="19">
        <v>26</v>
      </c>
      <c r="B30" s="37" t="s">
        <v>152</v>
      </c>
      <c r="C30" s="38" t="s">
        <v>153</v>
      </c>
      <c r="D30" s="19">
        <v>100000</v>
      </c>
      <c r="E30" s="38">
        <v>96125</v>
      </c>
      <c r="F30" s="111" t="s">
        <v>154</v>
      </c>
      <c r="G30" s="2">
        <f t="shared" si="0"/>
        <v>48063</v>
      </c>
      <c r="H30" s="2"/>
      <c r="I30" s="2"/>
      <c r="J30" s="2"/>
      <c r="K30" s="2"/>
    </row>
    <row r="31" ht="28.5" customHeight="1" spans="1:11">
      <c r="A31" s="19">
        <v>27</v>
      </c>
      <c r="B31" s="37" t="s">
        <v>155</v>
      </c>
      <c r="C31" s="38" t="s">
        <v>156</v>
      </c>
      <c r="D31" s="19">
        <v>65000</v>
      </c>
      <c r="E31" s="38">
        <v>64725</v>
      </c>
      <c r="F31" s="111" t="s">
        <v>157</v>
      </c>
      <c r="G31" s="2">
        <f t="shared" si="0"/>
        <v>32363</v>
      </c>
      <c r="H31" s="2"/>
      <c r="I31" s="2"/>
      <c r="J31" s="2"/>
      <c r="K31" s="2"/>
    </row>
    <row r="32" ht="28.5" customHeight="1" spans="1:11">
      <c r="A32" s="19">
        <v>28</v>
      </c>
      <c r="B32" s="37" t="s">
        <v>158</v>
      </c>
      <c r="C32" s="38" t="s">
        <v>159</v>
      </c>
      <c r="D32" s="19">
        <v>89961</v>
      </c>
      <c r="E32" s="38">
        <v>86086</v>
      </c>
      <c r="F32" s="111" t="s">
        <v>160</v>
      </c>
      <c r="G32" s="2">
        <f t="shared" si="0"/>
        <v>43043</v>
      </c>
      <c r="H32" s="2"/>
      <c r="I32" s="2"/>
      <c r="J32" s="2"/>
      <c r="K32" s="2"/>
    </row>
    <row r="33" ht="28.5" customHeight="1" spans="1:11">
      <c r="A33" s="19">
        <v>29</v>
      </c>
      <c r="B33" s="37" t="s">
        <v>161</v>
      </c>
      <c r="C33" s="38" t="s">
        <v>159</v>
      </c>
      <c r="D33" s="19">
        <v>75000</v>
      </c>
      <c r="E33" s="38">
        <v>74725</v>
      </c>
      <c r="F33" s="111" t="s">
        <v>162</v>
      </c>
      <c r="G33" s="2">
        <f t="shared" si="0"/>
        <v>37363</v>
      </c>
      <c r="H33" s="2"/>
      <c r="I33" s="2"/>
      <c r="J33" s="2"/>
      <c r="K33" s="2"/>
    </row>
    <row r="34" ht="28.5" customHeight="1" spans="1:11">
      <c r="A34" s="19">
        <v>30</v>
      </c>
      <c r="B34" s="37" t="s">
        <v>163</v>
      </c>
      <c r="C34" s="38" t="s">
        <v>164</v>
      </c>
      <c r="D34" s="19">
        <v>45000</v>
      </c>
      <c r="E34" s="38">
        <v>44725</v>
      </c>
      <c r="F34" s="111" t="s">
        <v>165</v>
      </c>
      <c r="G34" s="2">
        <f t="shared" si="0"/>
        <v>22363</v>
      </c>
      <c r="H34" s="2"/>
      <c r="I34" s="2"/>
      <c r="J34" s="2"/>
      <c r="K34" s="2"/>
    </row>
    <row r="35" ht="28.5" customHeight="1" spans="1:11">
      <c r="A35" s="19">
        <v>31</v>
      </c>
      <c r="B35" s="37" t="s">
        <v>166</v>
      </c>
      <c r="C35" s="38" t="s">
        <v>164</v>
      </c>
      <c r="D35" s="19">
        <v>55000</v>
      </c>
      <c r="E35" s="38">
        <v>54725</v>
      </c>
      <c r="F35" s="111" t="s">
        <v>167</v>
      </c>
      <c r="G35" s="2">
        <f t="shared" si="0"/>
        <v>27363</v>
      </c>
      <c r="H35" s="2"/>
      <c r="I35" s="2"/>
      <c r="J35" s="2"/>
      <c r="K35" s="2"/>
    </row>
    <row r="36" ht="28.5" customHeight="1" spans="1:11">
      <c r="A36" s="19">
        <v>32</v>
      </c>
      <c r="B36" s="37" t="s">
        <v>168</v>
      </c>
      <c r="C36" s="38" t="s">
        <v>108</v>
      </c>
      <c r="D36" s="19">
        <v>65000</v>
      </c>
      <c r="E36" s="38">
        <v>68725</v>
      </c>
      <c r="F36" s="111" t="s">
        <v>169</v>
      </c>
      <c r="G36" s="2">
        <f t="shared" si="0"/>
        <v>34363</v>
      </c>
      <c r="H36" s="2"/>
      <c r="I36" s="2"/>
      <c r="J36" s="2"/>
      <c r="K36" s="2"/>
    </row>
    <row r="37" ht="28.5" customHeight="1" spans="1:11">
      <c r="A37" s="19">
        <v>33</v>
      </c>
      <c r="B37" s="37" t="s">
        <v>170</v>
      </c>
      <c r="C37" s="38" t="s">
        <v>108</v>
      </c>
      <c r="D37" s="19">
        <v>31949</v>
      </c>
      <c r="E37" s="38">
        <v>31674</v>
      </c>
      <c r="F37" s="111" t="s">
        <v>171</v>
      </c>
      <c r="G37" s="2">
        <f t="shared" si="0"/>
        <v>15837</v>
      </c>
      <c r="H37" s="2"/>
      <c r="I37" s="2"/>
      <c r="J37" s="2"/>
      <c r="K37" s="2"/>
    </row>
    <row r="38" ht="28.5" customHeight="1" spans="1:11">
      <c r="A38" s="19">
        <v>34</v>
      </c>
      <c r="B38" s="37" t="s">
        <v>172</v>
      </c>
      <c r="C38" s="38" t="s">
        <v>108</v>
      </c>
      <c r="D38" s="19">
        <v>20000</v>
      </c>
      <c r="E38" s="38">
        <v>19775</v>
      </c>
      <c r="F38" s="111" t="s">
        <v>173</v>
      </c>
      <c r="G38" s="2">
        <f t="shared" si="0"/>
        <v>9888</v>
      </c>
      <c r="H38" s="2"/>
      <c r="I38" s="2"/>
      <c r="J38" s="2"/>
      <c r="K38" s="2"/>
    </row>
    <row r="39" ht="28.5" customHeight="1" spans="1:11">
      <c r="A39" s="19">
        <v>35</v>
      </c>
      <c r="B39" s="37" t="s">
        <v>174</v>
      </c>
      <c r="C39" s="38" t="s">
        <v>108</v>
      </c>
      <c r="D39" s="19">
        <v>25000</v>
      </c>
      <c r="E39" s="38">
        <v>24725</v>
      </c>
      <c r="F39" s="111" t="s">
        <v>175</v>
      </c>
      <c r="G39" s="2">
        <f t="shared" si="0"/>
        <v>12363</v>
      </c>
      <c r="H39" s="2"/>
      <c r="I39" s="2"/>
      <c r="J39" s="2"/>
      <c r="K39" s="2"/>
    </row>
    <row r="40" ht="28.5" customHeight="1" spans="1:11">
      <c r="A40" s="19">
        <v>36</v>
      </c>
      <c r="B40" s="37" t="s">
        <v>176</v>
      </c>
      <c r="C40" s="38" t="s">
        <v>108</v>
      </c>
      <c r="D40" s="19">
        <v>45000</v>
      </c>
      <c r="E40" s="38">
        <v>44725</v>
      </c>
      <c r="F40" s="111" t="s">
        <v>177</v>
      </c>
      <c r="G40" s="2">
        <f t="shared" si="0"/>
        <v>22363</v>
      </c>
      <c r="H40" s="2"/>
      <c r="I40" s="2"/>
      <c r="J40" s="2"/>
      <c r="K40" s="2"/>
    </row>
    <row r="41" ht="28.5" customHeight="1" spans="1:11">
      <c r="A41" s="19">
        <v>37</v>
      </c>
      <c r="B41" s="37" t="s">
        <v>178</v>
      </c>
      <c r="C41" s="38" t="s">
        <v>108</v>
      </c>
      <c r="D41" s="19">
        <v>15000</v>
      </c>
      <c r="E41" s="38">
        <v>14925</v>
      </c>
      <c r="F41" s="111" t="s">
        <v>179</v>
      </c>
      <c r="G41" s="2">
        <f t="shared" si="0"/>
        <v>7463</v>
      </c>
      <c r="H41" s="2"/>
      <c r="I41" s="2"/>
      <c r="J41" s="2"/>
      <c r="K41" s="2"/>
    </row>
    <row r="42" ht="29.25" customHeight="1" spans="1:11">
      <c r="A42" s="19">
        <v>38</v>
      </c>
      <c r="B42" s="37" t="s">
        <v>180</v>
      </c>
      <c r="C42" s="38" t="s">
        <v>108</v>
      </c>
      <c r="D42" s="19">
        <v>15000</v>
      </c>
      <c r="E42" s="38">
        <v>14925</v>
      </c>
      <c r="F42" s="111" t="s">
        <v>181</v>
      </c>
      <c r="G42" s="2">
        <f t="shared" si="0"/>
        <v>7463</v>
      </c>
      <c r="H42" s="2"/>
      <c r="I42" s="2"/>
      <c r="J42" s="2"/>
      <c r="K42" s="2"/>
    </row>
    <row r="43" ht="28.5" customHeight="1" spans="1:11">
      <c r="A43" s="19">
        <v>39</v>
      </c>
      <c r="B43" s="37" t="s">
        <v>182</v>
      </c>
      <c r="C43" s="38" t="s">
        <v>108</v>
      </c>
      <c r="D43" s="19">
        <v>60000</v>
      </c>
      <c r="E43" s="38">
        <v>59725</v>
      </c>
      <c r="F43" s="111" t="s">
        <v>183</v>
      </c>
      <c r="G43" s="2">
        <f t="shared" si="0"/>
        <v>29863</v>
      </c>
      <c r="H43" s="2"/>
      <c r="I43" s="2"/>
      <c r="J43" s="2"/>
      <c r="K43" s="2"/>
    </row>
    <row r="44" ht="28.5" customHeight="1" spans="1:11">
      <c r="A44" s="19">
        <v>40</v>
      </c>
      <c r="B44" s="37" t="s">
        <v>184</v>
      </c>
      <c r="C44" s="38" t="s">
        <v>108</v>
      </c>
      <c r="D44" s="19">
        <v>25000</v>
      </c>
      <c r="E44" s="38">
        <v>24725</v>
      </c>
      <c r="F44" s="111" t="s">
        <v>185</v>
      </c>
      <c r="G44" s="2">
        <f t="shared" si="0"/>
        <v>12363</v>
      </c>
      <c r="H44" s="2"/>
      <c r="I44" s="2"/>
      <c r="J44" s="2"/>
      <c r="K44" s="2"/>
    </row>
    <row r="45" ht="28.5" customHeight="1" spans="1:11">
      <c r="A45" s="19">
        <v>41</v>
      </c>
      <c r="B45" s="37" t="s">
        <v>186</v>
      </c>
      <c r="C45" s="38" t="s">
        <v>108</v>
      </c>
      <c r="D45" s="19">
        <v>25000</v>
      </c>
      <c r="E45" s="38">
        <v>24725</v>
      </c>
      <c r="F45" s="111" t="s">
        <v>187</v>
      </c>
      <c r="G45" s="2">
        <f t="shared" si="0"/>
        <v>12363</v>
      </c>
      <c r="H45" s="2"/>
      <c r="I45" s="2"/>
      <c r="J45" s="2"/>
      <c r="K45" s="2"/>
    </row>
    <row r="46" ht="28.5" customHeight="1" spans="1:11">
      <c r="A46" s="19">
        <v>42</v>
      </c>
      <c r="B46" s="37" t="s">
        <v>188</v>
      </c>
      <c r="C46" s="38" t="s">
        <v>108</v>
      </c>
      <c r="D46" s="19">
        <v>25000</v>
      </c>
      <c r="E46" s="38">
        <v>24725</v>
      </c>
      <c r="F46" s="111" t="s">
        <v>189</v>
      </c>
      <c r="G46" s="2">
        <f t="shared" si="0"/>
        <v>12363</v>
      </c>
      <c r="H46" s="2"/>
      <c r="I46" s="2"/>
      <c r="J46" s="2"/>
      <c r="K46" s="2"/>
    </row>
    <row r="47" ht="28.5" customHeight="1" spans="1:11">
      <c r="A47" s="19"/>
      <c r="B47" s="37"/>
      <c r="C47" s="38"/>
      <c r="D47" s="19"/>
      <c r="E47" s="38"/>
      <c r="F47" s="22"/>
      <c r="G47" s="2">
        <f t="shared" si="0"/>
        <v>0</v>
      </c>
      <c r="H47" s="2"/>
      <c r="I47" s="2"/>
      <c r="J47" s="2"/>
      <c r="K47" s="2"/>
    </row>
    <row r="48" ht="28.5" customHeight="1" spans="1:11">
      <c r="A48" s="19">
        <v>43</v>
      </c>
      <c r="B48" s="37" t="s">
        <v>190</v>
      </c>
      <c r="C48" s="38" t="s">
        <v>191</v>
      </c>
      <c r="D48" s="19">
        <v>80000</v>
      </c>
      <c r="E48" s="38">
        <v>79725</v>
      </c>
      <c r="F48" s="114" t="s">
        <v>192</v>
      </c>
      <c r="G48" s="2">
        <f t="shared" si="0"/>
        <v>39863</v>
      </c>
      <c r="H48" s="2"/>
      <c r="I48" s="2"/>
      <c r="J48" s="2"/>
      <c r="K48" s="2"/>
    </row>
    <row r="49" ht="28.5" customHeight="1" spans="1:11">
      <c r="A49" s="7">
        <v>44</v>
      </c>
      <c r="B49" s="11" t="s">
        <v>193</v>
      </c>
      <c r="C49" s="9" t="s">
        <v>103</v>
      </c>
      <c r="D49" s="7">
        <v>70000</v>
      </c>
      <c r="E49" s="9">
        <v>69725</v>
      </c>
      <c r="F49" s="115" t="s">
        <v>194</v>
      </c>
      <c r="G49" s="10">
        <f t="shared" si="0"/>
        <v>34863</v>
      </c>
      <c r="H49" s="10"/>
      <c r="I49" s="10"/>
      <c r="J49" s="10"/>
      <c r="K49" s="10"/>
    </row>
    <row r="50" ht="28.5" customHeight="1" spans="1:11">
      <c r="A50" s="19">
        <v>45</v>
      </c>
      <c r="B50" s="40" t="s">
        <v>195</v>
      </c>
      <c r="C50" s="38" t="s">
        <v>103</v>
      </c>
      <c r="D50" s="19">
        <v>50000</v>
      </c>
      <c r="E50" s="38">
        <v>49725</v>
      </c>
      <c r="F50" s="114" t="s">
        <v>196</v>
      </c>
      <c r="G50" s="2">
        <f t="shared" si="0"/>
        <v>24863</v>
      </c>
      <c r="H50" s="2"/>
      <c r="I50" s="2"/>
      <c r="J50" s="2"/>
      <c r="K50" s="2"/>
    </row>
    <row r="51" ht="28.5" customHeight="1" spans="1:11">
      <c r="A51" s="19">
        <v>46</v>
      </c>
      <c r="B51" s="40" t="s">
        <v>197</v>
      </c>
      <c r="C51" s="38" t="s">
        <v>103</v>
      </c>
      <c r="D51" s="19">
        <v>50000</v>
      </c>
      <c r="E51" s="38">
        <v>49725</v>
      </c>
      <c r="F51" s="114" t="s">
        <v>198</v>
      </c>
      <c r="G51" s="2">
        <f t="shared" si="0"/>
        <v>24863</v>
      </c>
      <c r="H51" s="2"/>
      <c r="I51" s="2"/>
      <c r="J51" s="2"/>
      <c r="K51" s="2"/>
    </row>
    <row r="52" ht="28.5" customHeight="1" spans="1:11">
      <c r="A52" s="23">
        <v>47</v>
      </c>
      <c r="B52" s="35" t="s">
        <v>199</v>
      </c>
      <c r="C52" s="25" t="s">
        <v>103</v>
      </c>
      <c r="D52" s="23">
        <v>75000</v>
      </c>
      <c r="E52" s="25">
        <v>74725</v>
      </c>
      <c r="F52" s="23"/>
      <c r="G52" s="27">
        <f t="shared" si="0"/>
        <v>37363</v>
      </c>
      <c r="H52" s="27"/>
      <c r="I52" s="27"/>
      <c r="J52" s="27"/>
      <c r="K52" s="27"/>
    </row>
    <row r="53" ht="28.5" customHeight="1" spans="1:11">
      <c r="A53" s="19">
        <v>48</v>
      </c>
      <c r="B53" s="37" t="s">
        <v>200</v>
      </c>
      <c r="C53" s="38" t="s">
        <v>103</v>
      </c>
      <c r="D53" s="19">
        <v>46559</v>
      </c>
      <c r="E53" s="38">
        <v>42684</v>
      </c>
      <c r="F53" s="114" t="s">
        <v>201</v>
      </c>
      <c r="G53" s="2">
        <f t="shared" si="0"/>
        <v>21342</v>
      </c>
      <c r="H53" s="2"/>
      <c r="I53" s="2"/>
      <c r="J53" s="2"/>
      <c r="K53" s="2"/>
    </row>
    <row r="54" ht="28.5" customHeight="1" spans="1:11">
      <c r="A54" s="19">
        <v>49</v>
      </c>
      <c r="B54" s="37" t="s">
        <v>202</v>
      </c>
      <c r="C54" s="38" t="s">
        <v>103</v>
      </c>
      <c r="D54" s="19">
        <v>40548</v>
      </c>
      <c r="E54" s="38">
        <v>36673</v>
      </c>
      <c r="F54" s="114" t="s">
        <v>203</v>
      </c>
      <c r="G54" s="2">
        <f t="shared" si="0"/>
        <v>18337</v>
      </c>
      <c r="H54" s="2"/>
      <c r="I54" s="2"/>
      <c r="J54" s="2"/>
      <c r="K54" s="2"/>
    </row>
    <row r="55" ht="28.5" customHeight="1" spans="1:11">
      <c r="A55" s="19">
        <v>50</v>
      </c>
      <c r="B55" s="37" t="s">
        <v>204</v>
      </c>
      <c r="C55" s="38" t="s">
        <v>103</v>
      </c>
      <c r="D55" s="19">
        <v>36045</v>
      </c>
      <c r="E55" s="38">
        <v>36170</v>
      </c>
      <c r="F55" s="114" t="s">
        <v>205</v>
      </c>
      <c r="G55" s="2">
        <f t="shared" si="0"/>
        <v>18085</v>
      </c>
      <c r="H55" s="2"/>
      <c r="I55" s="2"/>
      <c r="J55" s="2"/>
      <c r="K55" s="2"/>
    </row>
    <row r="56" ht="28.5" customHeight="1" spans="1:11">
      <c r="A56" s="7">
        <v>51</v>
      </c>
      <c r="B56" s="8" t="s">
        <v>206</v>
      </c>
      <c r="C56" s="9" t="s">
        <v>103</v>
      </c>
      <c r="D56" s="7">
        <v>38000</v>
      </c>
      <c r="E56" s="9">
        <v>37725</v>
      </c>
      <c r="F56" s="115" t="s">
        <v>207</v>
      </c>
      <c r="G56" s="10">
        <f t="shared" si="0"/>
        <v>18863</v>
      </c>
      <c r="H56" s="10"/>
      <c r="I56" s="10"/>
      <c r="J56" s="10"/>
      <c r="K56" s="10"/>
    </row>
    <row r="57" ht="28.5" customHeight="1" spans="1:11">
      <c r="A57" s="19">
        <v>52</v>
      </c>
      <c r="B57" s="37" t="s">
        <v>208</v>
      </c>
      <c r="C57" s="38" t="s">
        <v>103</v>
      </c>
      <c r="D57" s="19">
        <v>45000</v>
      </c>
      <c r="E57" s="38">
        <v>44725</v>
      </c>
      <c r="F57" s="114" t="s">
        <v>209</v>
      </c>
      <c r="G57" s="2">
        <f t="shared" si="0"/>
        <v>22363</v>
      </c>
      <c r="H57" s="2"/>
      <c r="I57" s="2"/>
      <c r="J57" s="2"/>
      <c r="K57" s="2"/>
    </row>
    <row r="58" ht="28.5" customHeight="1" spans="1:11">
      <c r="A58" s="19">
        <v>53</v>
      </c>
      <c r="B58" s="37" t="s">
        <v>210</v>
      </c>
      <c r="C58" s="38" t="s">
        <v>211</v>
      </c>
      <c r="D58" s="19">
        <v>20000</v>
      </c>
      <c r="E58" s="38">
        <v>19775</v>
      </c>
      <c r="F58" s="114" t="s">
        <v>212</v>
      </c>
      <c r="G58" s="2">
        <f t="shared" si="0"/>
        <v>9888</v>
      </c>
      <c r="H58" s="2"/>
      <c r="I58" s="2"/>
      <c r="J58" s="2"/>
      <c r="K58" s="2"/>
    </row>
    <row r="59" ht="28.5" customHeight="1" spans="1:11">
      <c r="A59" s="19">
        <v>54</v>
      </c>
      <c r="B59" s="37" t="s">
        <v>213</v>
      </c>
      <c r="C59" s="38" t="s">
        <v>108</v>
      </c>
      <c r="D59" s="19">
        <v>34510</v>
      </c>
      <c r="E59" s="38">
        <v>34235</v>
      </c>
      <c r="F59" s="114" t="s">
        <v>214</v>
      </c>
      <c r="G59" s="2">
        <f t="shared" si="0"/>
        <v>17118</v>
      </c>
      <c r="H59" s="2"/>
      <c r="I59" s="2"/>
      <c r="J59" s="2"/>
      <c r="K59" s="2"/>
    </row>
    <row r="60" ht="28.5" customHeight="1" spans="1:11">
      <c r="A60" s="19">
        <v>55</v>
      </c>
      <c r="B60" s="37" t="s">
        <v>215</v>
      </c>
      <c r="C60" s="38" t="s">
        <v>108</v>
      </c>
      <c r="D60" s="19">
        <v>65000</v>
      </c>
      <c r="E60" s="38">
        <v>64725</v>
      </c>
      <c r="F60" s="114" t="s">
        <v>216</v>
      </c>
      <c r="G60" s="2">
        <f t="shared" si="0"/>
        <v>32363</v>
      </c>
      <c r="H60" s="2"/>
      <c r="I60" s="2"/>
      <c r="J60" s="2"/>
      <c r="K60" s="2"/>
    </row>
    <row r="61" ht="28.5" customHeight="1" spans="1:11">
      <c r="A61" s="19">
        <v>56</v>
      </c>
      <c r="B61" s="37" t="s">
        <v>217</v>
      </c>
      <c r="C61" s="38" t="s">
        <v>108</v>
      </c>
      <c r="D61" s="19">
        <v>23000</v>
      </c>
      <c r="E61" s="38">
        <v>22725</v>
      </c>
      <c r="F61" s="114" t="s">
        <v>218</v>
      </c>
      <c r="G61" s="2">
        <f t="shared" si="0"/>
        <v>11363</v>
      </c>
      <c r="H61" s="2"/>
      <c r="I61" s="2"/>
      <c r="J61" s="2"/>
      <c r="K61" s="2"/>
    </row>
    <row r="62" ht="28.5" customHeight="1" spans="1:11">
      <c r="A62" s="7">
        <v>57</v>
      </c>
      <c r="B62" s="8" t="s">
        <v>219</v>
      </c>
      <c r="C62" s="9" t="s">
        <v>108</v>
      </c>
      <c r="D62" s="7">
        <v>59890</v>
      </c>
      <c r="E62" s="9">
        <v>59615</v>
      </c>
      <c r="F62" s="115" t="s">
        <v>220</v>
      </c>
      <c r="G62" s="10">
        <f t="shared" si="0"/>
        <v>29808</v>
      </c>
      <c r="H62" s="10"/>
      <c r="I62" s="10"/>
      <c r="J62" s="10"/>
      <c r="K62" s="10"/>
    </row>
    <row r="63" ht="28.5" customHeight="1" spans="1:11">
      <c r="A63" s="19">
        <v>58</v>
      </c>
      <c r="B63" s="37" t="s">
        <v>221</v>
      </c>
      <c r="C63" s="38" t="s">
        <v>108</v>
      </c>
      <c r="D63" s="19">
        <v>33460</v>
      </c>
      <c r="E63" s="38">
        <v>33185</v>
      </c>
      <c r="F63" s="114" t="s">
        <v>222</v>
      </c>
      <c r="G63" s="2">
        <f t="shared" si="0"/>
        <v>16593</v>
      </c>
      <c r="H63" s="2"/>
      <c r="I63" s="2"/>
      <c r="J63" s="2"/>
      <c r="K63" s="2"/>
    </row>
    <row r="64" ht="28.5" customHeight="1" spans="1:11">
      <c r="A64" s="19">
        <v>59</v>
      </c>
      <c r="B64" s="37" t="s">
        <v>223</v>
      </c>
      <c r="C64" s="38" t="s">
        <v>108</v>
      </c>
      <c r="D64" s="19">
        <v>17000</v>
      </c>
      <c r="E64" s="38">
        <v>16775</v>
      </c>
      <c r="F64" s="114" t="s">
        <v>224</v>
      </c>
      <c r="G64" s="2">
        <f t="shared" si="0"/>
        <v>8388</v>
      </c>
      <c r="H64" s="2"/>
      <c r="I64" s="2"/>
      <c r="J64" s="2"/>
      <c r="K64" s="2"/>
    </row>
    <row r="65" ht="28.5" customHeight="1" spans="1:11">
      <c r="A65" s="19">
        <v>60</v>
      </c>
      <c r="B65" s="37" t="s">
        <v>225</v>
      </c>
      <c r="C65" s="38" t="s">
        <v>108</v>
      </c>
      <c r="D65" s="19">
        <v>75000</v>
      </c>
      <c r="E65" s="38">
        <v>74725</v>
      </c>
      <c r="F65" s="114" t="s">
        <v>226</v>
      </c>
      <c r="G65" s="2">
        <f t="shared" si="0"/>
        <v>37363</v>
      </c>
      <c r="H65" s="2"/>
      <c r="I65" s="2"/>
      <c r="J65" s="2"/>
      <c r="K65" s="2"/>
    </row>
    <row r="66" ht="28.5" customHeight="1" spans="1:11">
      <c r="A66" s="19">
        <v>61</v>
      </c>
      <c r="B66" s="37" t="s">
        <v>227</v>
      </c>
      <c r="C66" s="38" t="s">
        <v>108</v>
      </c>
      <c r="D66" s="19">
        <v>18000</v>
      </c>
      <c r="E66" s="38">
        <v>17775</v>
      </c>
      <c r="F66" s="114" t="s">
        <v>228</v>
      </c>
      <c r="G66" s="2">
        <f t="shared" si="0"/>
        <v>8888</v>
      </c>
      <c r="H66" s="2"/>
      <c r="I66" s="2"/>
      <c r="J66" s="2"/>
      <c r="K66" s="2"/>
    </row>
    <row r="67" ht="28.5" customHeight="1" spans="1:11">
      <c r="A67" s="19">
        <v>62</v>
      </c>
      <c r="B67" s="37" t="s">
        <v>229</v>
      </c>
      <c r="C67" s="38" t="s">
        <v>108</v>
      </c>
      <c r="D67" s="19">
        <v>50000</v>
      </c>
      <c r="E67" s="38">
        <v>49725</v>
      </c>
      <c r="F67" s="114" t="s">
        <v>230</v>
      </c>
      <c r="G67" s="2">
        <f t="shared" si="0"/>
        <v>24863</v>
      </c>
      <c r="H67" s="2"/>
      <c r="I67" s="2"/>
      <c r="J67" s="2"/>
      <c r="K67" s="2"/>
    </row>
    <row r="68" ht="28.5" customHeight="1" spans="1:11">
      <c r="A68" s="19">
        <v>63</v>
      </c>
      <c r="B68" s="37" t="s">
        <v>231</v>
      </c>
      <c r="C68" s="38" t="s">
        <v>108</v>
      </c>
      <c r="D68" s="19">
        <v>31460</v>
      </c>
      <c r="E68" s="38">
        <v>31185</v>
      </c>
      <c r="F68" s="114" t="s">
        <v>232</v>
      </c>
      <c r="G68" s="2">
        <f t="shared" si="0"/>
        <v>15593</v>
      </c>
      <c r="H68" s="2"/>
      <c r="I68" s="2"/>
      <c r="J68" s="2"/>
      <c r="K68" s="2"/>
    </row>
    <row r="69" ht="28.5" customHeight="1" spans="1:11">
      <c r="A69" s="19">
        <v>64</v>
      </c>
      <c r="B69" s="37" t="s">
        <v>233</v>
      </c>
      <c r="C69" s="38" t="s">
        <v>108</v>
      </c>
      <c r="D69" s="19">
        <v>65000</v>
      </c>
      <c r="E69" s="38">
        <v>64725</v>
      </c>
      <c r="F69" s="114" t="s">
        <v>234</v>
      </c>
      <c r="G69" s="2">
        <f t="shared" si="0"/>
        <v>32363</v>
      </c>
      <c r="H69" s="2"/>
      <c r="I69" s="2"/>
      <c r="J69" s="2"/>
      <c r="K69" s="2"/>
    </row>
    <row r="70" ht="28.5" customHeight="1" spans="1:11">
      <c r="A70" s="19">
        <v>65</v>
      </c>
      <c r="B70" s="37" t="s">
        <v>235</v>
      </c>
      <c r="C70" s="38" t="s">
        <v>108</v>
      </c>
      <c r="D70" s="19">
        <v>15000</v>
      </c>
      <c r="E70" s="38">
        <v>14970</v>
      </c>
      <c r="F70" s="114" t="s">
        <v>236</v>
      </c>
      <c r="G70" s="2">
        <f t="shared" si="0"/>
        <v>7485</v>
      </c>
      <c r="H70" s="2"/>
      <c r="I70" s="2"/>
      <c r="J70" s="2"/>
      <c r="K70" s="2"/>
    </row>
    <row r="71" ht="28.5" customHeight="1" spans="1:11">
      <c r="A71" s="19">
        <v>66</v>
      </c>
      <c r="B71" s="37" t="s">
        <v>237</v>
      </c>
      <c r="C71" s="38" t="s">
        <v>108</v>
      </c>
      <c r="D71" s="19">
        <v>15000</v>
      </c>
      <c r="E71" s="38">
        <v>13170</v>
      </c>
      <c r="F71" s="114" t="s">
        <v>238</v>
      </c>
      <c r="G71" s="2">
        <f t="shared" si="0"/>
        <v>6585</v>
      </c>
      <c r="H71" s="2"/>
      <c r="I71" s="2"/>
      <c r="J71" s="2"/>
      <c r="K71" s="2"/>
    </row>
    <row r="72" ht="28.5" customHeight="1" spans="1:11">
      <c r="A72" s="19">
        <v>67</v>
      </c>
      <c r="B72" s="37" t="s">
        <v>239</v>
      </c>
      <c r="C72" s="38" t="s">
        <v>108</v>
      </c>
      <c r="D72" s="19">
        <v>25000</v>
      </c>
      <c r="E72" s="38">
        <v>24725</v>
      </c>
      <c r="F72" s="114" t="s">
        <v>240</v>
      </c>
      <c r="G72" s="2">
        <f t="shared" si="0"/>
        <v>12363</v>
      </c>
      <c r="H72" s="2"/>
      <c r="I72" s="2"/>
      <c r="J72" s="2"/>
      <c r="K72" s="2"/>
    </row>
    <row r="73" ht="28.5" customHeight="1" spans="1:11">
      <c r="A73" s="19"/>
      <c r="B73" s="37"/>
      <c r="C73" s="38"/>
      <c r="D73" s="19"/>
      <c r="E73" s="38"/>
      <c r="F73" s="19"/>
      <c r="G73" s="2"/>
      <c r="H73" s="2"/>
      <c r="I73" s="2"/>
      <c r="J73" s="2"/>
      <c r="K73" s="2"/>
    </row>
    <row r="74" ht="28.5" customHeight="1" spans="1:11">
      <c r="A74" s="19">
        <v>68</v>
      </c>
      <c r="B74" s="37" t="s">
        <v>241</v>
      </c>
      <c r="C74" s="38" t="s">
        <v>242</v>
      </c>
      <c r="D74" s="19">
        <v>40395</v>
      </c>
      <c r="E74" s="38">
        <v>36520</v>
      </c>
      <c r="F74" s="114" t="s">
        <v>243</v>
      </c>
      <c r="G74" s="2">
        <f t="shared" ref="G74:G105" si="1">ROUND(E74/2,0)</f>
        <v>18260</v>
      </c>
      <c r="H74" s="2"/>
      <c r="I74" s="2"/>
      <c r="J74" s="2"/>
      <c r="K74" s="2"/>
    </row>
    <row r="75" ht="28.5" customHeight="1" spans="1:11">
      <c r="A75" s="19">
        <v>69</v>
      </c>
      <c r="B75" s="37" t="s">
        <v>244</v>
      </c>
      <c r="C75" s="38" t="s">
        <v>103</v>
      </c>
      <c r="D75" s="19">
        <v>49126</v>
      </c>
      <c r="E75" s="38">
        <v>45251</v>
      </c>
      <c r="F75" s="114" t="s">
        <v>245</v>
      </c>
      <c r="G75" s="2">
        <f t="shared" si="1"/>
        <v>22626</v>
      </c>
      <c r="H75" s="2"/>
      <c r="I75" s="2"/>
      <c r="J75" s="2"/>
      <c r="K75" s="2"/>
    </row>
    <row r="76" ht="28.5" customHeight="1" spans="1:11">
      <c r="A76" s="19">
        <v>70</v>
      </c>
      <c r="B76" s="37" t="s">
        <v>246</v>
      </c>
      <c r="C76" s="38" t="s">
        <v>103</v>
      </c>
      <c r="D76" s="19">
        <v>50000</v>
      </c>
      <c r="E76" s="38">
        <v>49725</v>
      </c>
      <c r="F76" s="114" t="s">
        <v>247</v>
      </c>
      <c r="G76" s="2">
        <f t="shared" si="1"/>
        <v>24863</v>
      </c>
      <c r="H76" s="2"/>
      <c r="I76" s="2"/>
      <c r="J76" s="2"/>
      <c r="K76" s="2"/>
    </row>
    <row r="77" ht="28.5" customHeight="1" spans="1:11">
      <c r="A77" s="7">
        <v>71</v>
      </c>
      <c r="B77" s="8" t="s">
        <v>248</v>
      </c>
      <c r="C77" s="9" t="s">
        <v>103</v>
      </c>
      <c r="D77" s="7">
        <v>90000</v>
      </c>
      <c r="E77" s="9">
        <v>89725</v>
      </c>
      <c r="F77" s="7"/>
      <c r="G77" s="10">
        <f t="shared" si="1"/>
        <v>44863</v>
      </c>
      <c r="H77" s="10"/>
      <c r="I77" s="10"/>
      <c r="J77" s="10"/>
      <c r="K77" s="10"/>
    </row>
    <row r="78" ht="28.5" customHeight="1" spans="1:11">
      <c r="A78" s="19">
        <v>72</v>
      </c>
      <c r="B78" s="37" t="s">
        <v>249</v>
      </c>
      <c r="C78" s="38" t="s">
        <v>103</v>
      </c>
      <c r="D78" s="19">
        <v>75000</v>
      </c>
      <c r="E78" s="38">
        <v>74725</v>
      </c>
      <c r="F78" s="114" t="s">
        <v>250</v>
      </c>
      <c r="G78" s="2">
        <f t="shared" si="1"/>
        <v>37363</v>
      </c>
      <c r="H78" s="2"/>
      <c r="I78" s="2"/>
      <c r="J78" s="2"/>
      <c r="K78" s="2"/>
    </row>
    <row r="79" ht="28.5" customHeight="1" spans="1:11">
      <c r="A79" s="19">
        <v>73</v>
      </c>
      <c r="B79" s="37" t="s">
        <v>251</v>
      </c>
      <c r="C79" s="38" t="s">
        <v>103</v>
      </c>
      <c r="D79" s="19">
        <v>50000</v>
      </c>
      <c r="E79" s="38">
        <v>49725</v>
      </c>
      <c r="F79" s="114" t="s">
        <v>252</v>
      </c>
      <c r="G79" s="2">
        <f t="shared" si="1"/>
        <v>24863</v>
      </c>
      <c r="H79" s="2"/>
      <c r="I79" s="2"/>
      <c r="J79" s="2"/>
      <c r="K79" s="2"/>
    </row>
    <row r="80" ht="28.5" customHeight="1" spans="1:11">
      <c r="A80" s="19">
        <v>74</v>
      </c>
      <c r="B80" s="37" t="s">
        <v>253</v>
      </c>
      <c r="C80" s="38" t="s">
        <v>108</v>
      </c>
      <c r="D80" s="19">
        <v>17000</v>
      </c>
      <c r="E80" s="38">
        <v>20725</v>
      </c>
      <c r="F80" s="114" t="s">
        <v>254</v>
      </c>
      <c r="G80" s="2">
        <f t="shared" si="1"/>
        <v>10363</v>
      </c>
      <c r="H80" s="2"/>
      <c r="I80" s="2"/>
      <c r="J80" s="2"/>
      <c r="K80" s="2"/>
    </row>
    <row r="81" ht="28.5" customHeight="1" spans="1:11">
      <c r="A81" s="23">
        <v>75</v>
      </c>
      <c r="B81" s="34" t="s">
        <v>255</v>
      </c>
      <c r="C81" s="25" t="s">
        <v>108</v>
      </c>
      <c r="D81" s="23">
        <v>24000</v>
      </c>
      <c r="E81" s="25">
        <v>23725</v>
      </c>
      <c r="F81" s="116" t="s">
        <v>256</v>
      </c>
      <c r="G81" s="27">
        <f t="shared" si="1"/>
        <v>11863</v>
      </c>
      <c r="H81" s="27"/>
      <c r="I81" s="27"/>
      <c r="J81" s="27"/>
      <c r="K81" s="27"/>
    </row>
    <row r="82" ht="28.5" customHeight="1" spans="1:11">
      <c r="A82" s="19">
        <v>76</v>
      </c>
      <c r="B82" s="37" t="s">
        <v>257</v>
      </c>
      <c r="C82" s="38" t="s">
        <v>108</v>
      </c>
      <c r="D82" s="19">
        <v>30000</v>
      </c>
      <c r="E82" s="38">
        <v>29725</v>
      </c>
      <c r="F82" s="114" t="s">
        <v>258</v>
      </c>
      <c r="G82" s="2">
        <f t="shared" si="1"/>
        <v>14863</v>
      </c>
      <c r="H82" s="2"/>
      <c r="I82" s="2"/>
      <c r="J82" s="2"/>
      <c r="K82" s="2"/>
    </row>
    <row r="83" ht="28.5" customHeight="1" spans="1:11">
      <c r="A83" s="19">
        <v>77</v>
      </c>
      <c r="B83" s="37" t="s">
        <v>259</v>
      </c>
      <c r="C83" s="38" t="s">
        <v>108</v>
      </c>
      <c r="D83" s="19">
        <v>32000</v>
      </c>
      <c r="E83" s="38">
        <v>31725</v>
      </c>
      <c r="F83" s="114" t="s">
        <v>260</v>
      </c>
      <c r="G83" s="2">
        <f t="shared" si="1"/>
        <v>15863</v>
      </c>
      <c r="H83" s="2"/>
      <c r="I83" s="2"/>
      <c r="J83" s="2"/>
      <c r="K83" s="2"/>
    </row>
    <row r="84" ht="28.5" customHeight="1" spans="1:11">
      <c r="A84" s="12">
        <v>78</v>
      </c>
      <c r="B84" s="13" t="s">
        <v>261</v>
      </c>
      <c r="C84" s="14" t="s">
        <v>108</v>
      </c>
      <c r="D84" s="12">
        <v>35000</v>
      </c>
      <c r="E84" s="14">
        <v>34725</v>
      </c>
      <c r="F84" s="117" t="s">
        <v>262</v>
      </c>
      <c r="G84" s="15">
        <f t="shared" si="1"/>
        <v>17363</v>
      </c>
      <c r="H84" s="15"/>
      <c r="I84" s="15"/>
      <c r="J84" s="15"/>
      <c r="K84" s="15"/>
    </row>
    <row r="85" ht="28.5" customHeight="1" spans="1:11">
      <c r="A85" s="19">
        <v>79</v>
      </c>
      <c r="B85" s="37" t="s">
        <v>263</v>
      </c>
      <c r="C85" s="38" t="s">
        <v>108</v>
      </c>
      <c r="D85" s="19">
        <v>35000</v>
      </c>
      <c r="E85" s="38">
        <v>34725</v>
      </c>
      <c r="F85" s="114" t="s">
        <v>264</v>
      </c>
      <c r="G85" s="2">
        <f t="shared" si="1"/>
        <v>17363</v>
      </c>
      <c r="H85" s="2"/>
      <c r="I85" s="2"/>
      <c r="J85" s="2"/>
      <c r="K85" s="2"/>
    </row>
    <row r="86" ht="28.5" customHeight="1" spans="1:11">
      <c r="A86" s="19">
        <v>80</v>
      </c>
      <c r="B86" s="37" t="s">
        <v>265</v>
      </c>
      <c r="C86" s="38" t="s">
        <v>266</v>
      </c>
      <c r="D86" s="19">
        <v>52000</v>
      </c>
      <c r="E86" s="38">
        <v>51770</v>
      </c>
      <c r="F86" s="114" t="s">
        <v>267</v>
      </c>
      <c r="G86" s="2">
        <f t="shared" si="1"/>
        <v>25885</v>
      </c>
      <c r="H86" s="2"/>
      <c r="I86" s="2"/>
      <c r="J86" s="2"/>
      <c r="K86" s="2"/>
    </row>
    <row r="87" ht="28.5" customHeight="1" spans="1:11">
      <c r="A87" s="19">
        <v>81</v>
      </c>
      <c r="B87" s="37" t="s">
        <v>268</v>
      </c>
      <c r="C87" s="38" t="s">
        <v>108</v>
      </c>
      <c r="D87" s="19">
        <v>29000</v>
      </c>
      <c r="E87" s="38">
        <v>28770</v>
      </c>
      <c r="F87" s="114" t="s">
        <v>269</v>
      </c>
      <c r="G87" s="2">
        <f t="shared" si="1"/>
        <v>14385</v>
      </c>
      <c r="H87" s="2"/>
      <c r="I87" s="2"/>
      <c r="J87" s="2"/>
      <c r="K87" s="2"/>
    </row>
    <row r="88" ht="28.5" customHeight="1" spans="1:11">
      <c r="A88" s="19">
        <v>82</v>
      </c>
      <c r="B88" s="37" t="s">
        <v>270</v>
      </c>
      <c r="C88" s="38" t="s">
        <v>108</v>
      </c>
      <c r="D88" s="19">
        <v>15000</v>
      </c>
      <c r="E88" s="38">
        <v>14970</v>
      </c>
      <c r="F88" s="114" t="s">
        <v>271</v>
      </c>
      <c r="G88" s="2">
        <f t="shared" si="1"/>
        <v>7485</v>
      </c>
      <c r="H88" s="2"/>
      <c r="I88" s="2"/>
      <c r="J88" s="2"/>
      <c r="K88" s="2"/>
    </row>
    <row r="89" ht="28.5" customHeight="1" spans="1:11">
      <c r="A89" s="19">
        <v>83</v>
      </c>
      <c r="B89" s="37" t="s">
        <v>272</v>
      </c>
      <c r="C89" s="38" t="s">
        <v>108</v>
      </c>
      <c r="D89" s="19">
        <v>50000</v>
      </c>
      <c r="E89" s="38">
        <v>49770</v>
      </c>
      <c r="F89" s="114" t="s">
        <v>273</v>
      </c>
      <c r="G89" s="2">
        <f t="shared" si="1"/>
        <v>24885</v>
      </c>
      <c r="H89" s="2"/>
      <c r="I89" s="2"/>
      <c r="J89" s="2"/>
      <c r="K89" s="2"/>
    </row>
    <row r="90" ht="28.5" customHeight="1" spans="1:11">
      <c r="A90" s="19">
        <v>84</v>
      </c>
      <c r="B90" s="37" t="s">
        <v>274</v>
      </c>
      <c r="C90" s="38" t="s">
        <v>108</v>
      </c>
      <c r="D90" s="19">
        <v>16000</v>
      </c>
      <c r="E90" s="38">
        <v>15820</v>
      </c>
      <c r="F90" s="114" t="s">
        <v>275</v>
      </c>
      <c r="G90" s="2">
        <f t="shared" si="1"/>
        <v>7910</v>
      </c>
      <c r="H90" s="2"/>
      <c r="I90" s="2"/>
      <c r="J90" s="2"/>
      <c r="K90" s="2"/>
    </row>
    <row r="91" ht="28.5" customHeight="1" spans="1:11">
      <c r="A91" s="19">
        <v>85</v>
      </c>
      <c r="B91" s="37" t="s">
        <v>276</v>
      </c>
      <c r="C91" s="38" t="s">
        <v>108</v>
      </c>
      <c r="D91" s="19">
        <v>12000</v>
      </c>
      <c r="E91" s="38">
        <v>11925</v>
      </c>
      <c r="F91" s="114" t="s">
        <v>277</v>
      </c>
      <c r="G91" s="2">
        <f t="shared" si="1"/>
        <v>5963</v>
      </c>
      <c r="H91" s="2"/>
      <c r="I91" s="2"/>
      <c r="J91" s="2"/>
      <c r="K91" s="2"/>
    </row>
    <row r="92" ht="28.5" customHeight="1" spans="1:11">
      <c r="A92" s="7">
        <v>86</v>
      </c>
      <c r="B92" s="8" t="s">
        <v>278</v>
      </c>
      <c r="C92" s="9" t="s">
        <v>108</v>
      </c>
      <c r="D92" s="7">
        <v>65000</v>
      </c>
      <c r="E92" s="9">
        <v>64725</v>
      </c>
      <c r="F92" s="115" t="s">
        <v>279</v>
      </c>
      <c r="G92" s="10">
        <f t="shared" si="1"/>
        <v>32363</v>
      </c>
      <c r="H92" s="10"/>
      <c r="I92" s="10"/>
      <c r="J92" s="10"/>
      <c r="K92" s="10"/>
    </row>
    <row r="93" ht="28.5" customHeight="1" spans="1:11">
      <c r="A93" s="23">
        <v>87</v>
      </c>
      <c r="B93" s="34" t="s">
        <v>280</v>
      </c>
      <c r="C93" s="25" t="s">
        <v>164</v>
      </c>
      <c r="D93" s="23">
        <v>50000</v>
      </c>
      <c r="E93" s="25">
        <v>49725</v>
      </c>
      <c r="F93" s="116" t="s">
        <v>281</v>
      </c>
      <c r="G93" s="27">
        <f t="shared" si="1"/>
        <v>24863</v>
      </c>
      <c r="H93" s="27"/>
      <c r="I93" s="27"/>
      <c r="J93" s="27"/>
      <c r="K93" s="27"/>
    </row>
    <row r="94" ht="28.5" customHeight="1" spans="1:11">
      <c r="A94" s="19">
        <v>88</v>
      </c>
      <c r="B94" s="37" t="s">
        <v>282</v>
      </c>
      <c r="C94" s="38" t="s">
        <v>159</v>
      </c>
      <c r="D94" s="19">
        <v>65000</v>
      </c>
      <c r="E94" s="38">
        <v>64725</v>
      </c>
      <c r="F94" s="114" t="s">
        <v>283</v>
      </c>
      <c r="G94" s="2">
        <f t="shared" si="1"/>
        <v>32363</v>
      </c>
      <c r="H94" s="2"/>
      <c r="I94" s="2"/>
      <c r="J94" s="2"/>
      <c r="K94" s="2"/>
    </row>
    <row r="95" ht="28.5" customHeight="1" spans="1:11">
      <c r="A95" s="19">
        <v>89</v>
      </c>
      <c r="B95" s="37" t="s">
        <v>284</v>
      </c>
      <c r="C95" s="38" t="s">
        <v>211</v>
      </c>
      <c r="D95" s="19">
        <v>35000</v>
      </c>
      <c r="E95" s="38">
        <v>34725</v>
      </c>
      <c r="F95" s="114" t="s">
        <v>285</v>
      </c>
      <c r="G95" s="2">
        <f t="shared" si="1"/>
        <v>17363</v>
      </c>
      <c r="H95" s="2"/>
      <c r="I95" s="2"/>
      <c r="J95" s="2"/>
      <c r="K95" s="2"/>
    </row>
    <row r="96" ht="28.5" customHeight="1" spans="1:11">
      <c r="A96" s="19">
        <v>90</v>
      </c>
      <c r="B96" s="37" t="s">
        <v>286</v>
      </c>
      <c r="C96" s="38" t="s">
        <v>211</v>
      </c>
      <c r="D96" s="19">
        <v>45000</v>
      </c>
      <c r="E96" s="38">
        <v>44725</v>
      </c>
      <c r="F96" s="114" t="s">
        <v>287</v>
      </c>
      <c r="G96" s="2">
        <f t="shared" si="1"/>
        <v>22363</v>
      </c>
      <c r="H96" s="2"/>
      <c r="I96" s="2"/>
      <c r="J96" s="2"/>
      <c r="K96" s="2"/>
    </row>
    <row r="97" ht="28.5" customHeight="1" spans="1:11">
      <c r="A97" s="19">
        <v>91</v>
      </c>
      <c r="B97" s="37" t="s">
        <v>288</v>
      </c>
      <c r="C97" s="38" t="s">
        <v>211</v>
      </c>
      <c r="D97" s="19">
        <v>35000</v>
      </c>
      <c r="E97" s="38">
        <v>34725</v>
      </c>
      <c r="F97" s="114" t="s">
        <v>289</v>
      </c>
      <c r="G97" s="2">
        <f t="shared" si="1"/>
        <v>17363</v>
      </c>
      <c r="H97" s="2"/>
      <c r="I97" s="2"/>
      <c r="J97" s="2"/>
      <c r="K97" s="2"/>
    </row>
    <row r="98" ht="28.5" customHeight="1" spans="1:11">
      <c r="A98" s="12">
        <v>92</v>
      </c>
      <c r="B98" s="13" t="s">
        <v>290</v>
      </c>
      <c r="C98" s="14" t="s">
        <v>211</v>
      </c>
      <c r="D98" s="12">
        <v>36000</v>
      </c>
      <c r="E98" s="14">
        <v>35725</v>
      </c>
      <c r="F98" s="117" t="s">
        <v>291</v>
      </c>
      <c r="G98" s="15">
        <f t="shared" si="1"/>
        <v>17863</v>
      </c>
      <c r="H98" s="15"/>
      <c r="I98" s="15"/>
      <c r="J98" s="15"/>
      <c r="K98" s="15"/>
    </row>
    <row r="99" ht="28.5" customHeight="1" spans="1:11">
      <c r="A99" s="12">
        <v>93</v>
      </c>
      <c r="B99" s="13" t="s">
        <v>292</v>
      </c>
      <c r="C99" s="14" t="s">
        <v>211</v>
      </c>
      <c r="D99" s="12">
        <v>35000</v>
      </c>
      <c r="E99" s="14">
        <v>34725</v>
      </c>
      <c r="F99" s="117" t="s">
        <v>293</v>
      </c>
      <c r="G99" s="15">
        <f t="shared" si="1"/>
        <v>17363</v>
      </c>
      <c r="H99" s="15"/>
      <c r="I99" s="15"/>
      <c r="J99" s="15"/>
      <c r="K99" s="15"/>
    </row>
    <row r="100" ht="28.5" customHeight="1" spans="1:11">
      <c r="A100" s="19">
        <v>94</v>
      </c>
      <c r="B100" s="37" t="s">
        <v>294</v>
      </c>
      <c r="C100" s="38" t="s">
        <v>211</v>
      </c>
      <c r="D100" s="19">
        <v>50000</v>
      </c>
      <c r="E100" s="38">
        <v>49725</v>
      </c>
      <c r="F100" s="114" t="s">
        <v>295</v>
      </c>
      <c r="G100" s="2">
        <f t="shared" si="1"/>
        <v>24863</v>
      </c>
      <c r="H100" s="2"/>
      <c r="I100" s="2"/>
      <c r="J100" s="2"/>
      <c r="K100" s="2"/>
    </row>
    <row r="101" ht="28.5" customHeight="1" spans="1:11">
      <c r="A101" s="19">
        <v>95</v>
      </c>
      <c r="B101" s="37" t="s">
        <v>296</v>
      </c>
      <c r="C101" s="38" t="s">
        <v>242</v>
      </c>
      <c r="D101" s="19">
        <v>75085</v>
      </c>
      <c r="E101" s="38">
        <v>74810</v>
      </c>
      <c r="F101" s="114" t="s">
        <v>297</v>
      </c>
      <c r="G101" s="2">
        <f t="shared" si="1"/>
        <v>37405</v>
      </c>
      <c r="H101" s="2"/>
      <c r="I101" s="2"/>
      <c r="J101" s="2"/>
      <c r="K101" s="2"/>
    </row>
    <row r="102" ht="28.5" customHeight="1" spans="1:11">
      <c r="A102" s="19">
        <v>96</v>
      </c>
      <c r="B102" s="37" t="s">
        <v>298</v>
      </c>
      <c r="C102" s="38" t="s">
        <v>299</v>
      </c>
      <c r="D102" s="19">
        <v>35000</v>
      </c>
      <c r="E102" s="38">
        <v>34725</v>
      </c>
      <c r="F102" s="114" t="s">
        <v>300</v>
      </c>
      <c r="G102" s="2">
        <f t="shared" si="1"/>
        <v>17363</v>
      </c>
      <c r="H102" s="2"/>
      <c r="I102" s="2"/>
      <c r="J102" s="2"/>
      <c r="K102" s="2"/>
    </row>
    <row r="103" ht="28.5" customHeight="1" spans="1:11">
      <c r="A103" s="19">
        <v>97</v>
      </c>
      <c r="B103" s="37" t="s">
        <v>301</v>
      </c>
      <c r="C103" s="38" t="s">
        <v>108</v>
      </c>
      <c r="D103" s="19">
        <v>20000</v>
      </c>
      <c r="E103" s="38">
        <v>19775</v>
      </c>
      <c r="F103" s="114" t="s">
        <v>302</v>
      </c>
      <c r="G103" s="2">
        <f t="shared" si="1"/>
        <v>9888</v>
      </c>
      <c r="H103" s="2"/>
      <c r="I103" s="2"/>
      <c r="J103" s="2"/>
      <c r="K103" s="2"/>
    </row>
    <row r="104" ht="28.5" customHeight="1" spans="1:11">
      <c r="A104" s="23">
        <v>98</v>
      </c>
      <c r="B104" s="34" t="s">
        <v>303</v>
      </c>
      <c r="C104" s="25" t="s">
        <v>108</v>
      </c>
      <c r="D104" s="23">
        <v>23000</v>
      </c>
      <c r="E104" s="25">
        <v>22770</v>
      </c>
      <c r="F104" s="116" t="s">
        <v>304</v>
      </c>
      <c r="G104" s="27">
        <f t="shared" si="1"/>
        <v>11385</v>
      </c>
      <c r="H104" s="27"/>
      <c r="I104" s="27"/>
      <c r="J104" s="27"/>
      <c r="K104" s="27"/>
    </row>
    <row r="105" ht="28.5" customHeight="1" spans="1:11">
      <c r="A105" s="23">
        <v>99</v>
      </c>
      <c r="B105" s="34" t="s">
        <v>305</v>
      </c>
      <c r="C105" s="25" t="s">
        <v>108</v>
      </c>
      <c r="D105" s="23">
        <v>37000</v>
      </c>
      <c r="E105" s="25">
        <v>36725</v>
      </c>
      <c r="F105" s="116" t="s">
        <v>306</v>
      </c>
      <c r="G105" s="27">
        <f t="shared" si="1"/>
        <v>18363</v>
      </c>
      <c r="H105" s="27"/>
      <c r="I105" s="27"/>
      <c r="J105" s="27"/>
      <c r="K105" s="27"/>
    </row>
    <row r="106" ht="28.5" customHeight="1" spans="1:11">
      <c r="A106" s="23"/>
      <c r="B106" s="34"/>
      <c r="C106" s="25"/>
      <c r="D106" s="23"/>
      <c r="E106" s="25"/>
      <c r="F106" s="23"/>
      <c r="G106" s="27"/>
      <c r="H106" s="27"/>
      <c r="I106" s="27"/>
      <c r="J106" s="27"/>
      <c r="K106" s="27"/>
    </row>
    <row r="107" ht="28.5" customHeight="1" spans="1:11">
      <c r="A107" s="19">
        <v>100</v>
      </c>
      <c r="B107" s="37" t="s">
        <v>307</v>
      </c>
      <c r="C107" s="38" t="s">
        <v>308</v>
      </c>
      <c r="D107" s="38">
        <v>74994</v>
      </c>
      <c r="E107" s="38">
        <v>71119</v>
      </c>
      <c r="F107" s="114" t="s">
        <v>309</v>
      </c>
      <c r="G107" s="2">
        <f t="shared" ref="G107:G159" si="2">ROUND(E107/2,0)</f>
        <v>35560</v>
      </c>
      <c r="H107" s="2"/>
      <c r="I107" s="2"/>
      <c r="J107" s="2"/>
      <c r="K107" s="2"/>
    </row>
    <row r="108" ht="28.5" customHeight="1" spans="1:11">
      <c r="A108" s="19">
        <v>101</v>
      </c>
      <c r="B108" s="37" t="s">
        <v>310</v>
      </c>
      <c r="C108" s="38" t="s">
        <v>103</v>
      </c>
      <c r="D108" s="19">
        <v>32905</v>
      </c>
      <c r="E108" s="38">
        <v>32630</v>
      </c>
      <c r="F108" s="114" t="s">
        <v>311</v>
      </c>
      <c r="G108" s="2">
        <f t="shared" si="2"/>
        <v>16315</v>
      </c>
      <c r="H108" s="2"/>
      <c r="I108" s="2"/>
      <c r="J108" s="2"/>
      <c r="K108" s="2"/>
    </row>
    <row r="109" ht="28.5" customHeight="1" spans="1:11">
      <c r="A109" s="19">
        <v>102</v>
      </c>
      <c r="B109" s="37" t="s">
        <v>312</v>
      </c>
      <c r="C109" s="38" t="s">
        <v>103</v>
      </c>
      <c r="D109" s="19">
        <v>32905</v>
      </c>
      <c r="E109" s="38">
        <v>32630</v>
      </c>
      <c r="F109" s="114" t="s">
        <v>313</v>
      </c>
      <c r="G109" s="2">
        <f t="shared" si="2"/>
        <v>16315</v>
      </c>
      <c r="H109" s="2"/>
      <c r="I109" s="2"/>
      <c r="J109" s="2"/>
      <c r="K109" s="2"/>
    </row>
    <row r="110" ht="28.5" customHeight="1" spans="1:11">
      <c r="A110" s="19">
        <v>103</v>
      </c>
      <c r="B110" s="37" t="s">
        <v>314</v>
      </c>
      <c r="C110" s="38" t="s">
        <v>108</v>
      </c>
      <c r="D110" s="19">
        <v>50000</v>
      </c>
      <c r="E110" s="38">
        <v>49725</v>
      </c>
      <c r="F110" s="114" t="s">
        <v>315</v>
      </c>
      <c r="G110" s="2">
        <f t="shared" si="2"/>
        <v>24863</v>
      </c>
      <c r="H110" s="2"/>
      <c r="I110" s="2"/>
      <c r="J110" s="2"/>
      <c r="K110" s="2"/>
    </row>
    <row r="111" ht="28.5" customHeight="1" spans="1:11">
      <c r="A111" s="19">
        <v>104</v>
      </c>
      <c r="B111" s="37" t="s">
        <v>316</v>
      </c>
      <c r="C111" s="38" t="s">
        <v>108</v>
      </c>
      <c r="D111" s="19">
        <v>35000</v>
      </c>
      <c r="E111" s="38">
        <v>34725</v>
      </c>
      <c r="F111" s="114" t="s">
        <v>317</v>
      </c>
      <c r="G111" s="2">
        <f t="shared" si="2"/>
        <v>17363</v>
      </c>
      <c r="H111" s="2"/>
      <c r="I111" s="2"/>
      <c r="J111" s="2"/>
      <c r="K111" s="2"/>
    </row>
    <row r="112" ht="28.5" customHeight="1" spans="1:11">
      <c r="A112" s="19">
        <v>105</v>
      </c>
      <c r="B112" s="37" t="s">
        <v>318</v>
      </c>
      <c r="C112" s="38" t="s">
        <v>108</v>
      </c>
      <c r="D112" s="19">
        <v>23460</v>
      </c>
      <c r="E112" s="38">
        <v>19585</v>
      </c>
      <c r="F112" s="114" t="s">
        <v>319</v>
      </c>
      <c r="G112" s="2">
        <f t="shared" si="2"/>
        <v>9793</v>
      </c>
      <c r="H112" s="2"/>
      <c r="I112" s="2"/>
      <c r="J112" s="2"/>
      <c r="K112" s="2"/>
    </row>
    <row r="113" ht="28.5" customHeight="1" spans="1:11">
      <c r="A113" s="19">
        <v>106</v>
      </c>
      <c r="B113" s="37" t="s">
        <v>320</v>
      </c>
      <c r="C113" s="38" t="s">
        <v>108</v>
      </c>
      <c r="D113" s="19">
        <v>35000</v>
      </c>
      <c r="E113" s="38">
        <v>34725</v>
      </c>
      <c r="F113" s="114" t="s">
        <v>321</v>
      </c>
      <c r="G113" s="2">
        <f t="shared" si="2"/>
        <v>17363</v>
      </c>
      <c r="H113" s="2"/>
      <c r="I113" s="2"/>
      <c r="J113" s="2"/>
      <c r="K113" s="2"/>
    </row>
    <row r="114" ht="28.5" customHeight="1" spans="1:11">
      <c r="A114" s="19">
        <v>107</v>
      </c>
      <c r="B114" s="37" t="s">
        <v>322</v>
      </c>
      <c r="C114" s="38" t="s">
        <v>323</v>
      </c>
      <c r="D114" s="38">
        <v>110277</v>
      </c>
      <c r="E114" s="38">
        <v>106402</v>
      </c>
      <c r="F114" s="114" t="s">
        <v>324</v>
      </c>
      <c r="G114" s="2">
        <f t="shared" si="2"/>
        <v>53201</v>
      </c>
      <c r="H114" s="2"/>
      <c r="I114" s="2"/>
      <c r="J114" s="2"/>
      <c r="K114" s="2"/>
    </row>
    <row r="115" ht="28.5" customHeight="1" spans="1:11">
      <c r="A115" s="19">
        <v>108</v>
      </c>
      <c r="B115" s="37" t="s">
        <v>325</v>
      </c>
      <c r="C115" s="38" t="s">
        <v>326</v>
      </c>
      <c r="D115" s="19">
        <v>54103</v>
      </c>
      <c r="E115" s="38">
        <v>53962</v>
      </c>
      <c r="F115" s="114" t="s">
        <v>327</v>
      </c>
      <c r="G115" s="2">
        <f t="shared" si="2"/>
        <v>26981</v>
      </c>
      <c r="H115" s="2"/>
      <c r="I115" s="2"/>
      <c r="J115" s="2"/>
      <c r="K115" s="2"/>
    </row>
    <row r="116" ht="28.5" customHeight="1" spans="1:11">
      <c r="A116" s="19">
        <v>109</v>
      </c>
      <c r="B116" s="37" t="s">
        <v>328</v>
      </c>
      <c r="C116" s="38" t="s">
        <v>103</v>
      </c>
      <c r="D116" s="19">
        <v>42275</v>
      </c>
      <c r="E116" s="38">
        <v>42000</v>
      </c>
      <c r="F116" s="114" t="s">
        <v>329</v>
      </c>
      <c r="G116" s="2">
        <f t="shared" si="2"/>
        <v>21000</v>
      </c>
      <c r="H116" s="2"/>
      <c r="I116" s="2"/>
      <c r="J116" s="2"/>
      <c r="K116" s="2"/>
    </row>
    <row r="117" ht="28.5" customHeight="1" spans="1:11">
      <c r="A117" s="19">
        <v>110</v>
      </c>
      <c r="B117" s="37" t="s">
        <v>330</v>
      </c>
      <c r="C117" s="38" t="s">
        <v>331</v>
      </c>
      <c r="D117" s="19">
        <v>75085</v>
      </c>
      <c r="E117" s="38">
        <v>71210</v>
      </c>
      <c r="F117" s="114" t="s">
        <v>332</v>
      </c>
      <c r="G117" s="2">
        <f t="shared" si="2"/>
        <v>35605</v>
      </c>
      <c r="H117" s="2"/>
      <c r="I117" s="2"/>
      <c r="J117" s="2"/>
      <c r="K117" s="2"/>
    </row>
    <row r="118" ht="28.5" customHeight="1" spans="1:11">
      <c r="A118" s="19">
        <v>111</v>
      </c>
      <c r="B118" s="37" t="s">
        <v>333</v>
      </c>
      <c r="C118" s="38" t="s">
        <v>334</v>
      </c>
      <c r="D118" s="19">
        <v>170000</v>
      </c>
      <c r="E118" s="38">
        <v>169725</v>
      </c>
      <c r="F118" s="114" t="s">
        <v>335</v>
      </c>
      <c r="G118" s="2">
        <f t="shared" si="2"/>
        <v>84863</v>
      </c>
      <c r="H118" s="2"/>
      <c r="I118" s="2"/>
      <c r="J118" s="2"/>
      <c r="K118" s="2"/>
    </row>
    <row r="119" ht="28.5" customHeight="1" spans="1:11">
      <c r="A119" s="19">
        <v>112</v>
      </c>
      <c r="B119" s="37" t="s">
        <v>336</v>
      </c>
      <c r="C119" s="38" t="s">
        <v>108</v>
      </c>
      <c r="D119" s="19">
        <v>24460</v>
      </c>
      <c r="E119" s="38">
        <v>24185</v>
      </c>
      <c r="F119" s="114" t="s">
        <v>337</v>
      </c>
      <c r="G119" s="2">
        <f t="shared" si="2"/>
        <v>12093</v>
      </c>
      <c r="H119" s="2"/>
      <c r="I119" s="2"/>
      <c r="J119" s="2"/>
      <c r="K119" s="2"/>
    </row>
    <row r="120" ht="28.5" customHeight="1" spans="1:11">
      <c r="A120" s="19">
        <v>113</v>
      </c>
      <c r="B120" s="21" t="s">
        <v>338</v>
      </c>
      <c r="C120" s="38" t="s">
        <v>108</v>
      </c>
      <c r="D120" s="19">
        <v>23460</v>
      </c>
      <c r="E120" s="38">
        <v>23185</v>
      </c>
      <c r="F120" s="114" t="s">
        <v>339</v>
      </c>
      <c r="G120" s="2">
        <f t="shared" si="2"/>
        <v>11593</v>
      </c>
      <c r="H120" s="2"/>
      <c r="I120" s="2"/>
      <c r="J120" s="2"/>
      <c r="K120" s="2"/>
    </row>
    <row r="121" ht="28.5" customHeight="1" spans="1:11">
      <c r="A121" s="19">
        <v>114</v>
      </c>
      <c r="B121" s="37" t="s">
        <v>340</v>
      </c>
      <c r="C121" s="38" t="s">
        <v>108</v>
      </c>
      <c r="D121" s="19">
        <v>39632</v>
      </c>
      <c r="E121" s="38">
        <v>40020</v>
      </c>
      <c r="F121" s="114" t="s">
        <v>341</v>
      </c>
      <c r="G121" s="2">
        <f t="shared" si="2"/>
        <v>20010</v>
      </c>
      <c r="H121" s="2"/>
      <c r="I121" s="2"/>
      <c r="J121" s="2"/>
      <c r="K121" s="2"/>
    </row>
    <row r="122" ht="28.5" customHeight="1" spans="1:11">
      <c r="A122" s="19">
        <v>115</v>
      </c>
      <c r="B122" s="37" t="s">
        <v>342</v>
      </c>
      <c r="C122" s="38" t="s">
        <v>108</v>
      </c>
      <c r="D122" s="19">
        <v>20460</v>
      </c>
      <c r="E122" s="38">
        <v>20185</v>
      </c>
      <c r="F122" s="114" t="s">
        <v>343</v>
      </c>
      <c r="G122" s="2">
        <f t="shared" si="2"/>
        <v>10093</v>
      </c>
      <c r="H122" s="2"/>
      <c r="I122" s="2"/>
      <c r="J122" s="2"/>
      <c r="K122" s="2"/>
    </row>
    <row r="123" ht="28.5" customHeight="1" spans="1:11">
      <c r="A123" s="19">
        <v>116</v>
      </c>
      <c r="B123" s="37" t="s">
        <v>344</v>
      </c>
      <c r="C123" s="38" t="s">
        <v>108</v>
      </c>
      <c r="D123" s="19">
        <v>18260</v>
      </c>
      <c r="E123" s="38">
        <v>18035</v>
      </c>
      <c r="F123" s="114" t="s">
        <v>345</v>
      </c>
      <c r="G123" s="2">
        <f t="shared" si="2"/>
        <v>9018</v>
      </c>
      <c r="H123" s="2"/>
      <c r="I123" s="2"/>
      <c r="J123" s="2"/>
      <c r="K123" s="2"/>
    </row>
    <row r="124" ht="28.5" customHeight="1" spans="1:11">
      <c r="A124" s="19">
        <v>117</v>
      </c>
      <c r="B124" s="37" t="s">
        <v>346</v>
      </c>
      <c r="C124" s="38" t="s">
        <v>108</v>
      </c>
      <c r="D124" s="19">
        <v>25000</v>
      </c>
      <c r="E124" s="19">
        <v>24725</v>
      </c>
      <c r="F124" s="114" t="s">
        <v>347</v>
      </c>
      <c r="G124" s="2">
        <f t="shared" si="2"/>
        <v>12363</v>
      </c>
      <c r="H124" s="2"/>
      <c r="I124" s="2"/>
      <c r="J124" s="2"/>
      <c r="K124" s="2"/>
    </row>
    <row r="125" ht="28.5" customHeight="1" spans="1:11">
      <c r="A125" s="19">
        <v>118</v>
      </c>
      <c r="B125" s="37" t="s">
        <v>348</v>
      </c>
      <c r="C125" s="38" t="s">
        <v>108</v>
      </c>
      <c r="D125" s="19">
        <v>25000</v>
      </c>
      <c r="E125" s="19">
        <v>24725</v>
      </c>
      <c r="F125" s="114" t="s">
        <v>349</v>
      </c>
      <c r="G125" s="2">
        <f t="shared" si="2"/>
        <v>12363</v>
      </c>
      <c r="H125" s="2"/>
      <c r="I125" s="2"/>
      <c r="J125" s="2"/>
      <c r="K125" s="2"/>
    </row>
    <row r="126" ht="28.5" customHeight="1" spans="1:11">
      <c r="A126" s="19">
        <v>119</v>
      </c>
      <c r="B126" s="37" t="s">
        <v>350</v>
      </c>
      <c r="C126" s="38" t="s">
        <v>266</v>
      </c>
      <c r="D126" s="19">
        <v>52000</v>
      </c>
      <c r="E126" s="19">
        <v>51725</v>
      </c>
      <c r="F126" s="114" t="s">
        <v>351</v>
      </c>
      <c r="G126" s="2">
        <f t="shared" si="2"/>
        <v>25863</v>
      </c>
      <c r="H126" s="2"/>
      <c r="I126" s="2"/>
      <c r="J126" s="2"/>
      <c r="K126" s="2"/>
    </row>
    <row r="127" ht="28.5" customHeight="1" spans="1:11">
      <c r="A127" s="19">
        <v>120</v>
      </c>
      <c r="B127" s="37" t="s">
        <v>352</v>
      </c>
      <c r="C127" s="38" t="s">
        <v>108</v>
      </c>
      <c r="D127" s="19">
        <v>22000</v>
      </c>
      <c r="E127" s="38">
        <v>21770</v>
      </c>
      <c r="F127" s="114" t="s">
        <v>353</v>
      </c>
      <c r="G127" s="2">
        <f t="shared" si="2"/>
        <v>10885</v>
      </c>
      <c r="H127" s="2"/>
      <c r="I127" s="2"/>
      <c r="J127" s="2"/>
      <c r="K127" s="2"/>
    </row>
    <row r="128" ht="28.5" customHeight="1" spans="1:11">
      <c r="A128" s="12">
        <v>121</v>
      </c>
      <c r="B128" s="13" t="s">
        <v>354</v>
      </c>
      <c r="C128" s="14" t="s">
        <v>355</v>
      </c>
      <c r="D128" s="12">
        <v>15000</v>
      </c>
      <c r="E128" s="12">
        <v>15000</v>
      </c>
      <c r="F128" s="117" t="s">
        <v>356</v>
      </c>
      <c r="G128" s="15">
        <f t="shared" si="2"/>
        <v>7500</v>
      </c>
      <c r="H128" s="15"/>
      <c r="I128" s="15"/>
      <c r="J128" s="15"/>
      <c r="K128" s="15"/>
    </row>
    <row r="129" ht="28.5" customHeight="1" spans="1:11">
      <c r="A129" s="19">
        <v>122</v>
      </c>
      <c r="B129" s="37" t="s">
        <v>357</v>
      </c>
      <c r="C129" s="38" t="s">
        <v>103</v>
      </c>
      <c r="D129" s="19">
        <v>51516</v>
      </c>
      <c r="E129" s="38">
        <v>51241</v>
      </c>
      <c r="F129" s="114" t="s">
        <v>358</v>
      </c>
      <c r="G129" s="2">
        <f t="shared" si="2"/>
        <v>25621</v>
      </c>
      <c r="H129" s="2"/>
      <c r="I129" s="2"/>
      <c r="J129" s="2"/>
      <c r="K129" s="2"/>
    </row>
    <row r="130" ht="28.5" customHeight="1" spans="1:11">
      <c r="A130" s="19">
        <v>123</v>
      </c>
      <c r="B130" s="37" t="s">
        <v>359</v>
      </c>
      <c r="C130" s="38" t="s">
        <v>360</v>
      </c>
      <c r="D130" s="19">
        <v>62759</v>
      </c>
      <c r="E130" s="38">
        <v>58884</v>
      </c>
      <c r="F130" s="114" t="s">
        <v>361</v>
      </c>
      <c r="G130" s="2">
        <f t="shared" si="2"/>
        <v>29442</v>
      </c>
      <c r="H130" s="2"/>
      <c r="I130" s="2"/>
      <c r="J130" s="2"/>
      <c r="K130" s="2"/>
    </row>
    <row r="131" ht="28.5" customHeight="1" spans="1:11">
      <c r="A131" s="19">
        <v>124</v>
      </c>
      <c r="B131" s="37" t="s">
        <v>362</v>
      </c>
      <c r="C131" s="38" t="s">
        <v>103</v>
      </c>
      <c r="D131" s="38">
        <v>30000</v>
      </c>
      <c r="E131" s="38">
        <v>26125</v>
      </c>
      <c r="F131" s="114" t="s">
        <v>363</v>
      </c>
      <c r="G131" s="2">
        <f t="shared" si="2"/>
        <v>13063</v>
      </c>
      <c r="H131" s="2"/>
      <c r="I131" s="2"/>
      <c r="J131" s="2"/>
      <c r="K131" s="2"/>
    </row>
    <row r="132" ht="28.5" customHeight="1" spans="1:11">
      <c r="A132" s="19">
        <v>125</v>
      </c>
      <c r="B132" s="37" t="s">
        <v>364</v>
      </c>
      <c r="C132" s="38" t="s">
        <v>108</v>
      </c>
      <c r="D132" s="19">
        <v>35000</v>
      </c>
      <c r="E132" s="38">
        <v>34725</v>
      </c>
      <c r="F132" s="114" t="s">
        <v>365</v>
      </c>
      <c r="G132" s="2">
        <f t="shared" si="2"/>
        <v>17363</v>
      </c>
      <c r="H132" s="2"/>
      <c r="I132" s="2"/>
      <c r="J132" s="2"/>
      <c r="K132" s="2"/>
    </row>
    <row r="133" ht="28.5" customHeight="1" spans="1:11">
      <c r="A133" s="19">
        <v>126</v>
      </c>
      <c r="B133" s="37" t="s">
        <v>366</v>
      </c>
      <c r="C133" s="38" t="s">
        <v>159</v>
      </c>
      <c r="D133" s="19">
        <v>50000</v>
      </c>
      <c r="E133" s="38">
        <v>49725</v>
      </c>
      <c r="F133" s="114" t="s">
        <v>367</v>
      </c>
      <c r="G133" s="2">
        <f t="shared" si="2"/>
        <v>24863</v>
      </c>
      <c r="H133" s="2"/>
      <c r="I133" s="2"/>
      <c r="J133" s="2"/>
      <c r="K133" s="2"/>
    </row>
    <row r="134" ht="28.5" customHeight="1" spans="1:11">
      <c r="A134" s="19">
        <v>127</v>
      </c>
      <c r="B134" s="37" t="s">
        <v>368</v>
      </c>
      <c r="C134" s="38" t="s">
        <v>108</v>
      </c>
      <c r="D134" s="38">
        <v>30000</v>
      </c>
      <c r="E134" s="38">
        <v>29725</v>
      </c>
      <c r="F134" s="114" t="s">
        <v>369</v>
      </c>
      <c r="G134" s="2">
        <f t="shared" si="2"/>
        <v>14863</v>
      </c>
      <c r="H134" s="2"/>
      <c r="I134" s="2"/>
      <c r="J134" s="2"/>
      <c r="K134" s="2"/>
    </row>
    <row r="135" ht="28.5" customHeight="1" spans="1:11">
      <c r="A135" s="19">
        <v>128</v>
      </c>
      <c r="B135" s="37" t="s">
        <v>370</v>
      </c>
      <c r="C135" s="38" t="s">
        <v>108</v>
      </c>
      <c r="D135" s="19">
        <v>24460</v>
      </c>
      <c r="E135" s="38">
        <v>24185</v>
      </c>
      <c r="F135" s="114" t="s">
        <v>371</v>
      </c>
      <c r="G135" s="2">
        <f t="shared" si="2"/>
        <v>12093</v>
      </c>
      <c r="H135" s="2"/>
      <c r="I135" s="2"/>
      <c r="J135" s="2"/>
      <c r="K135" s="2"/>
    </row>
    <row r="136" ht="28.5" customHeight="1" spans="1:11">
      <c r="A136" s="19">
        <v>129</v>
      </c>
      <c r="B136" s="37" t="s">
        <v>372</v>
      </c>
      <c r="C136" s="38" t="s">
        <v>108</v>
      </c>
      <c r="D136" s="38">
        <v>23000</v>
      </c>
      <c r="E136" s="38">
        <v>22725</v>
      </c>
      <c r="F136" s="114" t="s">
        <v>373</v>
      </c>
      <c r="G136" s="2">
        <f t="shared" si="2"/>
        <v>11363</v>
      </c>
      <c r="H136" s="2"/>
      <c r="I136" s="2"/>
      <c r="J136" s="2"/>
      <c r="K136" s="2"/>
    </row>
    <row r="137" ht="28.5" customHeight="1" spans="1:11">
      <c r="A137" s="19">
        <v>130</v>
      </c>
      <c r="B137" s="37" t="s">
        <v>374</v>
      </c>
      <c r="C137" s="38" t="s">
        <v>108</v>
      </c>
      <c r="D137" s="19">
        <v>32460</v>
      </c>
      <c r="E137" s="38">
        <v>32185</v>
      </c>
      <c r="F137" s="114" t="s">
        <v>375</v>
      </c>
      <c r="G137" s="2">
        <f t="shared" si="2"/>
        <v>16093</v>
      </c>
      <c r="H137" s="2"/>
      <c r="I137" s="2"/>
      <c r="J137" s="2"/>
      <c r="K137" s="2"/>
    </row>
    <row r="138" ht="28.5" customHeight="1" spans="1:11">
      <c r="A138" s="19">
        <v>131</v>
      </c>
      <c r="B138" s="37" t="s">
        <v>376</v>
      </c>
      <c r="C138" s="38" t="s">
        <v>108</v>
      </c>
      <c r="D138" s="38">
        <v>22000</v>
      </c>
      <c r="E138" s="38">
        <v>21725</v>
      </c>
      <c r="F138" s="114" t="s">
        <v>377</v>
      </c>
      <c r="G138" s="2">
        <f t="shared" si="2"/>
        <v>10863</v>
      </c>
      <c r="H138" s="2"/>
      <c r="I138" s="2"/>
      <c r="J138" s="2"/>
      <c r="K138" s="2"/>
    </row>
    <row r="139" ht="28.5" customHeight="1" spans="1:11">
      <c r="A139" s="19">
        <v>132</v>
      </c>
      <c r="B139" s="37" t="s">
        <v>378</v>
      </c>
      <c r="C139" s="38" t="s">
        <v>108</v>
      </c>
      <c r="D139" s="19">
        <v>35000</v>
      </c>
      <c r="E139" s="38">
        <v>34725</v>
      </c>
      <c r="F139" s="114" t="s">
        <v>379</v>
      </c>
      <c r="G139" s="2">
        <f t="shared" si="2"/>
        <v>17363</v>
      </c>
      <c r="H139" s="2"/>
      <c r="I139" s="2"/>
      <c r="J139" s="2"/>
      <c r="K139" s="2"/>
    </row>
    <row r="140" ht="28.5" customHeight="1" spans="1:11">
      <c r="A140" s="19">
        <v>133</v>
      </c>
      <c r="B140" s="37" t="s">
        <v>380</v>
      </c>
      <c r="C140" s="38" t="s">
        <v>108</v>
      </c>
      <c r="D140" s="38">
        <v>30000</v>
      </c>
      <c r="E140" s="38">
        <v>29725</v>
      </c>
      <c r="F140" s="114" t="s">
        <v>381</v>
      </c>
      <c r="G140" s="2">
        <f t="shared" si="2"/>
        <v>14863</v>
      </c>
      <c r="H140" s="2"/>
      <c r="I140" s="2"/>
      <c r="J140" s="2"/>
      <c r="K140" s="2"/>
    </row>
    <row r="141" ht="28.5" customHeight="1" spans="1:11">
      <c r="A141" s="19">
        <v>134</v>
      </c>
      <c r="B141" s="37" t="s">
        <v>382</v>
      </c>
      <c r="C141" s="38" t="s">
        <v>108</v>
      </c>
      <c r="D141" s="38">
        <v>17500</v>
      </c>
      <c r="E141" s="38">
        <v>17275</v>
      </c>
      <c r="F141" s="114" t="s">
        <v>383</v>
      </c>
      <c r="G141" s="2">
        <f t="shared" si="2"/>
        <v>8638</v>
      </c>
      <c r="H141" s="2"/>
      <c r="I141" s="2"/>
      <c r="J141" s="2"/>
      <c r="K141" s="2"/>
    </row>
    <row r="142" ht="28.5" customHeight="1" spans="1:11">
      <c r="A142" s="19">
        <v>135</v>
      </c>
      <c r="B142" s="37" t="s">
        <v>384</v>
      </c>
      <c r="C142" s="38" t="s">
        <v>108</v>
      </c>
      <c r="D142" s="38">
        <v>18000</v>
      </c>
      <c r="E142" s="38">
        <v>17775</v>
      </c>
      <c r="F142" s="114" t="s">
        <v>385</v>
      </c>
      <c r="G142" s="2">
        <f t="shared" si="2"/>
        <v>8888</v>
      </c>
      <c r="H142" s="2"/>
      <c r="I142" s="2"/>
      <c r="J142" s="2"/>
      <c r="K142" s="2"/>
    </row>
    <row r="143" ht="28.5" customHeight="1" spans="1:11">
      <c r="A143" s="19">
        <v>136</v>
      </c>
      <c r="B143" s="37" t="s">
        <v>386</v>
      </c>
      <c r="C143" s="38" t="s">
        <v>108</v>
      </c>
      <c r="D143" s="38">
        <v>20000</v>
      </c>
      <c r="E143" s="38">
        <v>19775</v>
      </c>
      <c r="F143" s="114" t="s">
        <v>387</v>
      </c>
      <c r="G143" s="2">
        <f t="shared" si="2"/>
        <v>9888</v>
      </c>
      <c r="H143" s="2"/>
      <c r="I143" s="2"/>
      <c r="J143" s="2"/>
      <c r="K143" s="2"/>
    </row>
    <row r="144" ht="28.5" customHeight="1" spans="1:11">
      <c r="A144" s="19">
        <v>137</v>
      </c>
      <c r="B144" s="37" t="s">
        <v>388</v>
      </c>
      <c r="C144" s="38" t="s">
        <v>108</v>
      </c>
      <c r="D144" s="38">
        <v>18000</v>
      </c>
      <c r="E144" s="38">
        <v>17775</v>
      </c>
      <c r="F144" s="114" t="s">
        <v>389</v>
      </c>
      <c r="G144" s="2">
        <f t="shared" si="2"/>
        <v>8888</v>
      </c>
      <c r="H144" s="2"/>
      <c r="I144" s="2"/>
      <c r="J144" s="2"/>
      <c r="K144" s="2"/>
    </row>
    <row r="145" ht="28.5" customHeight="1" spans="1:11">
      <c r="A145" s="19">
        <v>138</v>
      </c>
      <c r="B145" s="37" t="s">
        <v>390</v>
      </c>
      <c r="C145" s="38" t="s">
        <v>108</v>
      </c>
      <c r="D145" s="38">
        <v>29000</v>
      </c>
      <c r="E145" s="38">
        <v>28725</v>
      </c>
      <c r="F145" s="114" t="s">
        <v>391</v>
      </c>
      <c r="G145" s="2">
        <f t="shared" si="2"/>
        <v>14363</v>
      </c>
      <c r="H145" s="2"/>
      <c r="I145" s="2"/>
      <c r="J145" s="2"/>
      <c r="K145" s="2"/>
    </row>
    <row r="146" ht="28.5" customHeight="1" spans="1:11">
      <c r="A146" s="19">
        <v>139</v>
      </c>
      <c r="B146" s="37" t="s">
        <v>392</v>
      </c>
      <c r="C146" s="38" t="s">
        <v>108</v>
      </c>
      <c r="D146" s="38">
        <v>18000</v>
      </c>
      <c r="E146" s="38">
        <v>17775</v>
      </c>
      <c r="F146" s="114" t="s">
        <v>393</v>
      </c>
      <c r="G146" s="2">
        <f t="shared" si="2"/>
        <v>8888</v>
      </c>
      <c r="H146" s="2"/>
      <c r="I146" s="2"/>
      <c r="J146" s="2"/>
      <c r="K146" s="2"/>
    </row>
    <row r="147" ht="28.5" customHeight="1" spans="1:11">
      <c r="A147" s="19">
        <v>140</v>
      </c>
      <c r="B147" s="37" t="s">
        <v>394</v>
      </c>
      <c r="C147" s="38" t="s">
        <v>108</v>
      </c>
      <c r="D147" s="38">
        <v>18000</v>
      </c>
      <c r="E147" s="38">
        <v>17775</v>
      </c>
      <c r="F147" s="114" t="s">
        <v>395</v>
      </c>
      <c r="G147" s="2">
        <f t="shared" si="2"/>
        <v>8888</v>
      </c>
      <c r="H147" s="2"/>
      <c r="I147" s="2"/>
      <c r="J147" s="2"/>
      <c r="K147" s="2"/>
    </row>
    <row r="148" ht="28.5" customHeight="1" spans="1:11">
      <c r="A148" s="19">
        <v>141</v>
      </c>
      <c r="B148" s="37" t="s">
        <v>396</v>
      </c>
      <c r="C148" s="38" t="s">
        <v>108</v>
      </c>
      <c r="D148" s="38">
        <v>26000</v>
      </c>
      <c r="E148" s="38">
        <v>25725</v>
      </c>
      <c r="F148" s="114" t="s">
        <v>397</v>
      </c>
      <c r="G148" s="2">
        <f t="shared" si="2"/>
        <v>12863</v>
      </c>
      <c r="H148" s="2"/>
      <c r="I148" s="2"/>
      <c r="J148" s="2"/>
      <c r="K148" s="2"/>
    </row>
    <row r="149" ht="28.5" customHeight="1" spans="1:11">
      <c r="A149" s="23">
        <v>142</v>
      </c>
      <c r="B149" s="34" t="s">
        <v>398</v>
      </c>
      <c r="C149" s="25" t="s">
        <v>108</v>
      </c>
      <c r="D149" s="25">
        <v>18000</v>
      </c>
      <c r="E149" s="25">
        <v>17775</v>
      </c>
      <c r="F149" s="116" t="s">
        <v>399</v>
      </c>
      <c r="G149" s="27">
        <f t="shared" si="2"/>
        <v>8888</v>
      </c>
      <c r="H149" s="27"/>
      <c r="I149" s="27"/>
      <c r="J149" s="27"/>
      <c r="K149" s="27"/>
    </row>
    <row r="150" ht="28.5" customHeight="1" spans="1:11">
      <c r="A150" s="19">
        <v>143</v>
      </c>
      <c r="B150" s="37" t="s">
        <v>400</v>
      </c>
      <c r="C150" s="38" t="s">
        <v>108</v>
      </c>
      <c r="D150" s="38">
        <v>21000</v>
      </c>
      <c r="E150" s="38">
        <v>20725</v>
      </c>
      <c r="F150" s="114" t="s">
        <v>401</v>
      </c>
      <c r="G150" s="2">
        <f t="shared" si="2"/>
        <v>10363</v>
      </c>
      <c r="H150" s="2"/>
      <c r="I150" s="2"/>
      <c r="J150" s="2"/>
      <c r="K150" s="2"/>
    </row>
    <row r="151" ht="28.5" customHeight="1" spans="1:11">
      <c r="A151" s="23">
        <v>144</v>
      </c>
      <c r="B151" s="34" t="s">
        <v>402</v>
      </c>
      <c r="C151" s="25" t="s">
        <v>108</v>
      </c>
      <c r="D151" s="25">
        <v>20000</v>
      </c>
      <c r="E151" s="25">
        <v>19775</v>
      </c>
      <c r="F151" s="116" t="s">
        <v>403</v>
      </c>
      <c r="G151" s="27">
        <f t="shared" si="2"/>
        <v>9888</v>
      </c>
      <c r="H151" s="27"/>
      <c r="I151" s="27"/>
      <c r="J151" s="27"/>
      <c r="K151" s="27"/>
    </row>
    <row r="152" ht="28.5" customHeight="1" spans="1:11">
      <c r="A152" s="23">
        <v>145</v>
      </c>
      <c r="B152" s="34" t="s">
        <v>404</v>
      </c>
      <c r="C152" s="25" t="s">
        <v>108</v>
      </c>
      <c r="D152" s="25">
        <v>25000</v>
      </c>
      <c r="E152" s="25">
        <v>24725</v>
      </c>
      <c r="F152" s="116" t="s">
        <v>405</v>
      </c>
      <c r="G152" s="27">
        <f t="shared" si="2"/>
        <v>12363</v>
      </c>
      <c r="H152" s="27"/>
      <c r="I152" s="27"/>
      <c r="J152" s="27"/>
      <c r="K152" s="27"/>
    </row>
    <row r="153" ht="28.5" customHeight="1" spans="1:11">
      <c r="A153" s="19">
        <v>146</v>
      </c>
      <c r="B153" s="37" t="s">
        <v>406</v>
      </c>
      <c r="C153" s="38" t="s">
        <v>266</v>
      </c>
      <c r="D153" s="19">
        <v>52000</v>
      </c>
      <c r="E153" s="38">
        <v>51725</v>
      </c>
      <c r="F153" s="114" t="s">
        <v>407</v>
      </c>
      <c r="G153" s="2">
        <f t="shared" si="2"/>
        <v>25863</v>
      </c>
      <c r="H153" s="2"/>
      <c r="I153" s="2"/>
      <c r="J153" s="2"/>
      <c r="K153" s="2"/>
    </row>
    <row r="154" ht="28.5" customHeight="1" spans="1:11">
      <c r="A154" s="19">
        <v>147</v>
      </c>
      <c r="B154" s="37" t="s">
        <v>408</v>
      </c>
      <c r="C154" s="38" t="s">
        <v>266</v>
      </c>
      <c r="D154" s="19">
        <v>52000</v>
      </c>
      <c r="E154" s="38">
        <v>51725</v>
      </c>
      <c r="F154" s="114" t="s">
        <v>409</v>
      </c>
      <c r="G154" s="2">
        <f t="shared" si="2"/>
        <v>25863</v>
      </c>
      <c r="H154" s="2"/>
      <c r="I154" s="2"/>
      <c r="J154" s="2"/>
      <c r="K154" s="2"/>
    </row>
    <row r="155" ht="28.5" customHeight="1" spans="1:11">
      <c r="A155" s="19">
        <v>148</v>
      </c>
      <c r="B155" s="37" t="s">
        <v>410</v>
      </c>
      <c r="C155" s="38" t="s">
        <v>211</v>
      </c>
      <c r="D155" s="19">
        <v>18000</v>
      </c>
      <c r="E155" s="38">
        <v>17775</v>
      </c>
      <c r="F155" s="114" t="s">
        <v>411</v>
      </c>
      <c r="G155" s="2">
        <f t="shared" si="2"/>
        <v>8888</v>
      </c>
      <c r="H155" s="2"/>
      <c r="I155" s="2"/>
      <c r="J155" s="2"/>
      <c r="K155" s="2"/>
    </row>
    <row r="156" ht="28.5" customHeight="1" spans="1:11">
      <c r="A156" s="19">
        <v>149</v>
      </c>
      <c r="B156" s="37" t="s">
        <v>412</v>
      </c>
      <c r="C156" s="38" t="s">
        <v>211</v>
      </c>
      <c r="D156" s="19">
        <v>18000</v>
      </c>
      <c r="E156" s="38">
        <v>17775</v>
      </c>
      <c r="F156" s="114" t="s">
        <v>413</v>
      </c>
      <c r="G156" s="2">
        <f t="shared" si="2"/>
        <v>8888</v>
      </c>
      <c r="H156" s="2"/>
      <c r="I156" s="2"/>
      <c r="J156" s="2"/>
      <c r="K156" s="2"/>
    </row>
    <row r="157" ht="28.5" customHeight="1" spans="1:11">
      <c r="A157" s="19">
        <v>150</v>
      </c>
      <c r="B157" s="37" t="s">
        <v>414</v>
      </c>
      <c r="C157" s="38" t="s">
        <v>159</v>
      </c>
      <c r="D157" s="19">
        <v>30000</v>
      </c>
      <c r="E157" s="38">
        <v>29725</v>
      </c>
      <c r="F157" s="114" t="s">
        <v>415</v>
      </c>
      <c r="G157" s="2">
        <f t="shared" si="2"/>
        <v>14863</v>
      </c>
      <c r="H157" s="2"/>
      <c r="I157" s="2"/>
      <c r="J157" s="2"/>
      <c r="K157" s="2"/>
    </row>
    <row r="158" ht="28.5" customHeight="1" spans="1:11">
      <c r="A158" s="19">
        <v>151</v>
      </c>
      <c r="B158" s="37" t="s">
        <v>416</v>
      </c>
      <c r="C158" s="38" t="s">
        <v>108</v>
      </c>
      <c r="D158" s="19">
        <v>25000</v>
      </c>
      <c r="E158" s="38">
        <v>24725</v>
      </c>
      <c r="F158" s="114" t="s">
        <v>417</v>
      </c>
      <c r="G158" s="2">
        <f t="shared" si="2"/>
        <v>12363</v>
      </c>
      <c r="H158" s="2"/>
      <c r="I158" s="2"/>
      <c r="J158" s="2"/>
      <c r="K158" s="2"/>
    </row>
    <row r="159" ht="28.5" customHeight="1" spans="1:11">
      <c r="A159" s="19">
        <v>152</v>
      </c>
      <c r="B159" s="37" t="s">
        <v>418</v>
      </c>
      <c r="C159" s="38" t="s">
        <v>419</v>
      </c>
      <c r="D159" s="19">
        <v>30780</v>
      </c>
      <c r="E159" s="38">
        <v>30780</v>
      </c>
      <c r="F159" s="111" t="s">
        <v>420</v>
      </c>
      <c r="G159" s="2">
        <f t="shared" si="2"/>
        <v>15390</v>
      </c>
      <c r="H159" s="2"/>
      <c r="I159" s="2"/>
      <c r="J159" s="2"/>
      <c r="K159" s="2"/>
    </row>
    <row r="160" ht="28.5" customHeight="1" spans="1:11">
      <c r="A160" s="16"/>
      <c r="B160" s="17" t="s">
        <v>9</v>
      </c>
      <c r="C160" s="18"/>
      <c r="D160" s="18">
        <f t="shared" ref="D160:E160" si="3">SUM(D5:D159)</f>
        <v>6258282</v>
      </c>
      <c r="E160" s="18">
        <f t="shared" si="3"/>
        <v>6013959</v>
      </c>
      <c r="F160" s="18"/>
      <c r="G160" s="6">
        <f>SUM(G6:G159)</f>
        <v>3007041</v>
      </c>
      <c r="H160" s="6"/>
      <c r="I160" s="6"/>
      <c r="J160" s="6"/>
      <c r="K160" s="6"/>
    </row>
    <row r="161" ht="28.5" customHeight="1" spans="1:11">
      <c r="A161" s="19"/>
      <c r="B161" s="20"/>
      <c r="C161" s="20"/>
      <c r="D161" s="21"/>
      <c r="E161" s="19"/>
      <c r="F161" s="22"/>
      <c r="G161" s="2"/>
      <c r="H161" s="2"/>
      <c r="I161" s="2"/>
      <c r="J161" s="2"/>
      <c r="K161" s="2"/>
    </row>
    <row r="162" ht="28.5" customHeight="1" spans="1:11">
      <c r="A162" s="19"/>
      <c r="B162" s="36"/>
      <c r="C162" s="36"/>
      <c r="D162" s="16"/>
      <c r="E162" s="36"/>
      <c r="F162" s="36"/>
      <c r="G162" s="2"/>
      <c r="H162" s="2"/>
      <c r="I162" s="2"/>
      <c r="J162" s="2"/>
      <c r="K162" s="2"/>
    </row>
    <row r="163" ht="28.5" customHeight="1" spans="1:11">
      <c r="A163" s="19"/>
      <c r="B163" s="17"/>
      <c r="C163" s="18"/>
      <c r="D163" s="16"/>
      <c r="E163" s="19"/>
      <c r="F163" s="22"/>
      <c r="G163" s="2"/>
      <c r="H163" s="2"/>
      <c r="I163" s="2"/>
      <c r="J163" s="2"/>
      <c r="K163" s="2"/>
    </row>
    <row r="164" ht="28.5" customHeight="1" spans="1:11">
      <c r="A164" s="19"/>
      <c r="B164" s="17"/>
      <c r="C164" s="18"/>
      <c r="D164" s="16"/>
      <c r="E164" s="19"/>
      <c r="F164" s="22"/>
      <c r="G164" s="2"/>
      <c r="H164" s="2"/>
      <c r="I164" s="2"/>
      <c r="J164" s="2"/>
      <c r="K164" s="2"/>
    </row>
    <row r="165" ht="28.5" hidden="1" customHeight="1" spans="1:11">
      <c r="A165" s="28" t="s">
        <v>96</v>
      </c>
      <c r="G165" s="2"/>
      <c r="H165" s="2"/>
      <c r="I165" s="2"/>
      <c r="J165" s="2"/>
      <c r="K165" s="2"/>
    </row>
    <row r="166" ht="28.5" hidden="1" customHeight="1" spans="1:11">
      <c r="A166" s="28" t="s">
        <v>421</v>
      </c>
      <c r="G166" s="2"/>
      <c r="H166" s="2"/>
      <c r="I166" s="2"/>
      <c r="J166" s="2"/>
      <c r="K166" s="2"/>
    </row>
    <row r="167" ht="41.25" hidden="1" customHeight="1" spans="1:11">
      <c r="A167" s="18" t="s">
        <v>98</v>
      </c>
      <c r="B167" s="17" t="s">
        <v>3</v>
      </c>
      <c r="C167" s="18" t="s">
        <v>4</v>
      </c>
      <c r="D167" s="18" t="s">
        <v>5</v>
      </c>
      <c r="E167" s="18" t="s">
        <v>27</v>
      </c>
      <c r="F167" s="5" t="s">
        <v>28</v>
      </c>
      <c r="G167" s="2"/>
      <c r="H167" s="2"/>
      <c r="I167" s="2"/>
      <c r="J167" s="2"/>
      <c r="K167" s="2"/>
    </row>
    <row r="168" ht="28.5" customHeight="1" spans="1:11">
      <c r="A168" s="28"/>
      <c r="B168" s="29"/>
      <c r="C168" s="30"/>
      <c r="D168" s="28"/>
      <c r="E168" s="28"/>
      <c r="F168" s="31"/>
      <c r="G168" s="2"/>
      <c r="H168" s="2"/>
      <c r="I168" s="2"/>
      <c r="J168" s="2"/>
      <c r="K168" s="2"/>
    </row>
  </sheetData>
  <autoFilter xmlns:etc="http://www.wps.cn/officeDocument/2017/etCustomData" ref="A1:F160" etc:filterBottomFollowUsedRange="0">
    <extLst/>
  </autoFilter>
  <mergeCells count="4">
    <mergeCell ref="A1:F1"/>
    <mergeCell ref="A2:F2"/>
    <mergeCell ref="A165:F165"/>
    <mergeCell ref="A166:F166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44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42727272727273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96</v>
      </c>
      <c r="G1" s="2"/>
      <c r="H1" s="2"/>
      <c r="I1" s="2"/>
      <c r="J1" s="2"/>
      <c r="K1" s="2"/>
    </row>
    <row r="2" ht="22.5" customHeight="1" spans="1:11">
      <c r="A2" s="1" t="s">
        <v>97</v>
      </c>
      <c r="G2" s="2"/>
      <c r="H2" s="2"/>
      <c r="I2" s="2"/>
      <c r="J2" s="2"/>
      <c r="K2" s="2"/>
    </row>
    <row r="3" ht="28.5" customHeight="1" spans="1:11">
      <c r="A3" s="3" t="s">
        <v>98</v>
      </c>
      <c r="B3" s="4" t="s">
        <v>3</v>
      </c>
      <c r="C3" s="3" t="s">
        <v>4</v>
      </c>
      <c r="D3" s="3" t="s">
        <v>5</v>
      </c>
      <c r="E3" s="3" t="s">
        <v>27</v>
      </c>
      <c r="F3" s="5" t="s">
        <v>28</v>
      </c>
      <c r="G3" s="2"/>
      <c r="H3" s="2"/>
      <c r="I3" s="2"/>
      <c r="J3" s="2"/>
      <c r="K3" s="2"/>
    </row>
    <row r="4" ht="21.75" customHeight="1" spans="1:11">
      <c r="A4" s="6"/>
      <c r="B4" s="4" t="s">
        <v>99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19">
        <v>1</v>
      </c>
      <c r="B5" s="37" t="s">
        <v>100</v>
      </c>
      <c r="C5" s="38" t="s">
        <v>94</v>
      </c>
      <c r="D5" s="19">
        <v>160000</v>
      </c>
      <c r="E5" s="38"/>
      <c r="F5" s="111" t="s">
        <v>101</v>
      </c>
      <c r="G5" s="2">
        <f t="shared" ref="G5:G135" si="0">ROUND(E5/2,0)</f>
        <v>0</v>
      </c>
      <c r="H5" s="2"/>
      <c r="I5" s="2"/>
      <c r="J5" s="2"/>
      <c r="K5" s="2"/>
    </row>
    <row r="6" ht="28.5" customHeight="1" spans="1:11">
      <c r="A6" s="19">
        <v>2</v>
      </c>
      <c r="B6" s="37" t="s">
        <v>102</v>
      </c>
      <c r="C6" s="38" t="s">
        <v>103</v>
      </c>
      <c r="D6" s="19">
        <v>100106</v>
      </c>
      <c r="E6" s="38">
        <v>99831</v>
      </c>
      <c r="F6" s="111" t="s">
        <v>104</v>
      </c>
      <c r="G6" s="2">
        <f t="shared" si="0"/>
        <v>49916</v>
      </c>
      <c r="H6" s="2"/>
      <c r="I6" s="2"/>
      <c r="J6" s="2"/>
      <c r="K6" s="2"/>
    </row>
    <row r="7" ht="28.5" customHeight="1" spans="1:11">
      <c r="A7" s="19">
        <v>3</v>
      </c>
      <c r="B7" s="37" t="s">
        <v>105</v>
      </c>
      <c r="C7" s="38" t="s">
        <v>103</v>
      </c>
      <c r="D7" s="19">
        <v>45000</v>
      </c>
      <c r="E7" s="38">
        <v>44725</v>
      </c>
      <c r="F7" s="111" t="s">
        <v>106</v>
      </c>
      <c r="G7" s="2">
        <f t="shared" si="0"/>
        <v>22363</v>
      </c>
      <c r="H7" s="2"/>
      <c r="I7" s="2"/>
      <c r="J7" s="2"/>
      <c r="K7" s="2"/>
    </row>
    <row r="8" ht="28.5" customHeight="1" spans="1:11">
      <c r="A8" s="19">
        <v>4</v>
      </c>
      <c r="B8" s="37" t="s">
        <v>107</v>
      </c>
      <c r="C8" s="38" t="s">
        <v>108</v>
      </c>
      <c r="D8" s="19">
        <v>47667</v>
      </c>
      <c r="E8" s="38">
        <v>47392</v>
      </c>
      <c r="F8" s="111" t="s">
        <v>109</v>
      </c>
      <c r="G8" s="2">
        <f t="shared" si="0"/>
        <v>23696</v>
      </c>
      <c r="H8" s="2"/>
      <c r="I8" s="2"/>
      <c r="J8" s="2"/>
      <c r="K8" s="2"/>
    </row>
    <row r="9" ht="28.5" customHeight="1" spans="1:11">
      <c r="A9" s="19">
        <v>5</v>
      </c>
      <c r="B9" s="37" t="s">
        <v>110</v>
      </c>
      <c r="C9" s="38" t="s">
        <v>108</v>
      </c>
      <c r="D9" s="19">
        <v>43206</v>
      </c>
      <c r="E9" s="38">
        <v>42931</v>
      </c>
      <c r="F9" s="111" t="s">
        <v>111</v>
      </c>
      <c r="G9" s="2">
        <f t="shared" si="0"/>
        <v>21466</v>
      </c>
      <c r="H9" s="2"/>
      <c r="I9" s="2"/>
      <c r="J9" s="2"/>
      <c r="K9" s="2"/>
    </row>
    <row r="10" ht="28.5" customHeight="1" spans="1:11">
      <c r="A10" s="19">
        <v>6</v>
      </c>
      <c r="B10" s="37" t="s">
        <v>112</v>
      </c>
      <c r="C10" s="38" t="s">
        <v>108</v>
      </c>
      <c r="D10" s="19">
        <v>32460</v>
      </c>
      <c r="E10" s="38">
        <v>32185</v>
      </c>
      <c r="F10" s="111" t="s">
        <v>113</v>
      </c>
      <c r="G10" s="2">
        <f t="shared" si="0"/>
        <v>16093</v>
      </c>
      <c r="H10" s="2"/>
      <c r="I10" s="2"/>
      <c r="J10" s="2"/>
      <c r="K10" s="2"/>
    </row>
    <row r="11" ht="28.5" customHeight="1" spans="1:11">
      <c r="A11" s="19">
        <v>7</v>
      </c>
      <c r="B11" s="37" t="s">
        <v>114</v>
      </c>
      <c r="C11" s="38" t="s">
        <v>108</v>
      </c>
      <c r="D11" s="38">
        <v>18000</v>
      </c>
      <c r="E11" s="38">
        <v>17775</v>
      </c>
      <c r="F11" s="111" t="s">
        <v>115</v>
      </c>
      <c r="G11" s="2">
        <f t="shared" si="0"/>
        <v>8888</v>
      </c>
      <c r="H11" s="2"/>
      <c r="I11" s="2"/>
      <c r="J11" s="2"/>
      <c r="K11" s="2"/>
    </row>
    <row r="12" ht="28.5" customHeight="1" spans="1:11">
      <c r="A12" s="19">
        <v>8</v>
      </c>
      <c r="B12" s="37" t="s">
        <v>116</v>
      </c>
      <c r="C12" s="38" t="s">
        <v>108</v>
      </c>
      <c r="D12" s="38">
        <v>18000</v>
      </c>
      <c r="E12" s="38">
        <v>17775</v>
      </c>
      <c r="F12" s="111" t="s">
        <v>117</v>
      </c>
      <c r="G12" s="2">
        <f t="shared" si="0"/>
        <v>8888</v>
      </c>
      <c r="H12" s="2"/>
      <c r="I12" s="2"/>
      <c r="J12" s="2"/>
      <c r="K12" s="2"/>
    </row>
    <row r="13" ht="28.5" customHeight="1" spans="1:11">
      <c r="A13" s="19">
        <v>11</v>
      </c>
      <c r="B13" s="32" t="s">
        <v>122</v>
      </c>
      <c r="C13" s="38" t="s">
        <v>108</v>
      </c>
      <c r="D13" s="38">
        <v>22000</v>
      </c>
      <c r="E13" s="38">
        <v>21725</v>
      </c>
      <c r="F13" s="111" t="s">
        <v>123</v>
      </c>
      <c r="G13" s="2">
        <f t="shared" si="0"/>
        <v>10863</v>
      </c>
      <c r="H13" s="2"/>
      <c r="I13" s="2"/>
      <c r="J13" s="2"/>
      <c r="K13" s="2"/>
    </row>
    <row r="14" ht="28.5" customHeight="1" spans="1:11">
      <c r="A14" s="19">
        <v>12</v>
      </c>
      <c r="B14" s="32" t="s">
        <v>124</v>
      </c>
      <c r="C14" s="38" t="s">
        <v>103</v>
      </c>
      <c r="D14" s="38">
        <v>65000</v>
      </c>
      <c r="E14" s="38">
        <v>61725</v>
      </c>
      <c r="F14" s="113" t="s">
        <v>125</v>
      </c>
      <c r="G14" s="2">
        <f t="shared" si="0"/>
        <v>30863</v>
      </c>
      <c r="H14" s="2"/>
      <c r="I14" s="2"/>
      <c r="J14" s="2"/>
      <c r="K14" s="2"/>
    </row>
    <row r="15" ht="28.5" customHeight="1" spans="1:11">
      <c r="A15" s="19">
        <v>13</v>
      </c>
      <c r="B15" s="37" t="s">
        <v>126</v>
      </c>
      <c r="C15" s="38" t="s">
        <v>127</v>
      </c>
      <c r="D15" s="19">
        <v>89961</v>
      </c>
      <c r="E15" s="38">
        <v>86086</v>
      </c>
      <c r="F15" s="114" t="s">
        <v>128</v>
      </c>
      <c r="G15" s="2">
        <f t="shared" si="0"/>
        <v>43043</v>
      </c>
      <c r="H15" s="2"/>
      <c r="I15" s="2"/>
      <c r="J15" s="2"/>
      <c r="K15" s="2"/>
    </row>
    <row r="16" ht="28.5" customHeight="1" spans="1:11">
      <c r="A16" s="19">
        <v>14</v>
      </c>
      <c r="B16" s="37" t="s">
        <v>129</v>
      </c>
      <c r="C16" s="38" t="s">
        <v>103</v>
      </c>
      <c r="D16" s="19">
        <v>51841</v>
      </c>
      <c r="E16" s="38">
        <v>47966</v>
      </c>
      <c r="F16" s="114" t="s">
        <v>130</v>
      </c>
      <c r="G16" s="2">
        <f t="shared" si="0"/>
        <v>23983</v>
      </c>
      <c r="H16" s="2"/>
      <c r="I16" s="2"/>
      <c r="J16" s="2"/>
      <c r="K16" s="2"/>
    </row>
    <row r="17" ht="28.5" customHeight="1" spans="1:11">
      <c r="A17" s="19">
        <v>15</v>
      </c>
      <c r="B17" s="37" t="s">
        <v>131</v>
      </c>
      <c r="C17" s="38" t="s">
        <v>103</v>
      </c>
      <c r="D17" s="19">
        <v>55000</v>
      </c>
      <c r="E17" s="38">
        <v>54725</v>
      </c>
      <c r="F17" s="114" t="s">
        <v>132</v>
      </c>
      <c r="G17" s="2">
        <f t="shared" si="0"/>
        <v>27363</v>
      </c>
      <c r="H17" s="2"/>
      <c r="I17" s="2"/>
      <c r="J17" s="2"/>
      <c r="K17" s="2"/>
    </row>
    <row r="18" ht="28.5" customHeight="1" spans="1:11">
      <c r="A18" s="19">
        <v>16</v>
      </c>
      <c r="B18" s="37" t="s">
        <v>133</v>
      </c>
      <c r="C18" s="38" t="s">
        <v>103</v>
      </c>
      <c r="D18" s="19">
        <v>52000</v>
      </c>
      <c r="E18" s="38">
        <v>51725</v>
      </c>
      <c r="F18" s="19"/>
      <c r="G18" s="2">
        <f t="shared" si="0"/>
        <v>25863</v>
      </c>
      <c r="H18" s="2"/>
      <c r="I18" s="2"/>
      <c r="J18" s="2"/>
      <c r="K18" s="2"/>
    </row>
    <row r="19" ht="28.5" customHeight="1" spans="1:11">
      <c r="A19" s="19">
        <v>18</v>
      </c>
      <c r="B19" s="37" t="s">
        <v>136</v>
      </c>
      <c r="C19" s="38" t="s">
        <v>103</v>
      </c>
      <c r="D19" s="19">
        <v>60000</v>
      </c>
      <c r="E19" s="38">
        <v>59725</v>
      </c>
      <c r="F19" s="114" t="s">
        <v>137</v>
      </c>
      <c r="G19" s="2">
        <f t="shared" si="0"/>
        <v>29863</v>
      </c>
      <c r="H19" s="2"/>
      <c r="I19" s="2"/>
      <c r="J19" s="2"/>
      <c r="K19" s="2"/>
    </row>
    <row r="20" ht="28.5" customHeight="1" spans="1:11">
      <c r="A20" s="19">
        <v>19</v>
      </c>
      <c r="B20" s="37" t="s">
        <v>138</v>
      </c>
      <c r="C20" s="38" t="s">
        <v>103</v>
      </c>
      <c r="D20" s="19">
        <v>62000</v>
      </c>
      <c r="E20" s="38">
        <v>61725</v>
      </c>
      <c r="F20" s="114" t="s">
        <v>139</v>
      </c>
      <c r="G20" s="2">
        <f t="shared" si="0"/>
        <v>30863</v>
      </c>
      <c r="H20" s="2"/>
      <c r="I20" s="2"/>
      <c r="J20" s="2"/>
      <c r="K20" s="2"/>
    </row>
    <row r="21" ht="28.5" customHeight="1" spans="1:11">
      <c r="A21" s="19">
        <v>20</v>
      </c>
      <c r="B21" s="37" t="s">
        <v>140</v>
      </c>
      <c r="C21" s="38" t="s">
        <v>108</v>
      </c>
      <c r="D21" s="19">
        <v>34510</v>
      </c>
      <c r="E21" s="38">
        <v>34235</v>
      </c>
      <c r="F21" s="114" t="s">
        <v>141</v>
      </c>
      <c r="G21" s="2">
        <f t="shared" si="0"/>
        <v>17118</v>
      </c>
      <c r="H21" s="2"/>
      <c r="I21" s="2"/>
      <c r="J21" s="2"/>
      <c r="K21" s="2"/>
    </row>
    <row r="22" ht="28.5" customHeight="1" spans="1:11">
      <c r="A22" s="19">
        <v>21</v>
      </c>
      <c r="B22" s="37" t="s">
        <v>142</v>
      </c>
      <c r="C22" s="38" t="s">
        <v>108</v>
      </c>
      <c r="D22" s="19">
        <v>20000</v>
      </c>
      <c r="E22" s="38">
        <v>19775</v>
      </c>
      <c r="F22" s="114" t="s">
        <v>143</v>
      </c>
      <c r="G22" s="2">
        <f t="shared" si="0"/>
        <v>9888</v>
      </c>
      <c r="H22" s="2"/>
      <c r="I22" s="2"/>
      <c r="J22" s="2"/>
      <c r="K22" s="2"/>
    </row>
    <row r="23" ht="28.5" customHeight="1" spans="1:11">
      <c r="A23" s="19">
        <v>22</v>
      </c>
      <c r="B23" s="37" t="s">
        <v>144</v>
      </c>
      <c r="C23" s="38" t="s">
        <v>108</v>
      </c>
      <c r="D23" s="19">
        <v>35000</v>
      </c>
      <c r="E23" s="38">
        <v>34725</v>
      </c>
      <c r="F23" s="114" t="s">
        <v>145</v>
      </c>
      <c r="G23" s="2">
        <f t="shared" si="0"/>
        <v>17363</v>
      </c>
      <c r="H23" s="2"/>
      <c r="I23" s="2"/>
      <c r="J23" s="2"/>
      <c r="K23" s="2"/>
    </row>
    <row r="24" ht="28.5" customHeight="1" spans="1:11">
      <c r="A24" s="19">
        <v>24</v>
      </c>
      <c r="B24" s="37" t="s">
        <v>148</v>
      </c>
      <c r="C24" s="38" t="s">
        <v>108</v>
      </c>
      <c r="D24" s="19">
        <v>25000</v>
      </c>
      <c r="E24" s="38">
        <v>24725</v>
      </c>
      <c r="F24" s="114" t="s">
        <v>149</v>
      </c>
      <c r="G24" s="2">
        <f t="shared" si="0"/>
        <v>12363</v>
      </c>
      <c r="H24" s="2"/>
      <c r="I24" s="2"/>
      <c r="J24" s="2"/>
      <c r="K24" s="2"/>
    </row>
    <row r="25" ht="28.5" customHeight="1" spans="1:11">
      <c r="A25" s="19">
        <v>25</v>
      </c>
      <c r="B25" s="37" t="s">
        <v>150</v>
      </c>
      <c r="C25" s="38" t="s">
        <v>108</v>
      </c>
      <c r="D25" s="19">
        <v>26460</v>
      </c>
      <c r="E25" s="38">
        <v>26185</v>
      </c>
      <c r="F25" s="114" t="s">
        <v>151</v>
      </c>
      <c r="G25" s="2">
        <f t="shared" si="0"/>
        <v>13093</v>
      </c>
      <c r="H25" s="2"/>
      <c r="I25" s="2"/>
      <c r="J25" s="2"/>
      <c r="K25" s="2"/>
    </row>
    <row r="26" ht="43.5" customHeight="1" spans="1:11">
      <c r="A26" s="19">
        <v>26</v>
      </c>
      <c r="B26" s="37" t="s">
        <v>152</v>
      </c>
      <c r="C26" s="38" t="s">
        <v>153</v>
      </c>
      <c r="D26" s="19">
        <v>100000</v>
      </c>
      <c r="E26" s="38">
        <v>96125</v>
      </c>
      <c r="F26" s="111" t="s">
        <v>154</v>
      </c>
      <c r="G26" s="2">
        <f t="shared" si="0"/>
        <v>48063</v>
      </c>
      <c r="H26" s="2"/>
      <c r="I26" s="2"/>
      <c r="J26" s="2"/>
      <c r="K26" s="2"/>
    </row>
    <row r="27" ht="28.5" customHeight="1" spans="1:11">
      <c r="A27" s="19">
        <v>27</v>
      </c>
      <c r="B27" s="37" t="s">
        <v>155</v>
      </c>
      <c r="C27" s="38" t="s">
        <v>156</v>
      </c>
      <c r="D27" s="19">
        <v>65000</v>
      </c>
      <c r="E27" s="38">
        <v>64725</v>
      </c>
      <c r="F27" s="111" t="s">
        <v>157</v>
      </c>
      <c r="G27" s="2">
        <f t="shared" si="0"/>
        <v>32363</v>
      </c>
      <c r="H27" s="2"/>
      <c r="I27" s="2"/>
      <c r="J27" s="2"/>
      <c r="K27" s="2"/>
    </row>
    <row r="28" ht="28.5" customHeight="1" spans="1:11">
      <c r="A28" s="19">
        <v>28</v>
      </c>
      <c r="B28" s="37" t="s">
        <v>158</v>
      </c>
      <c r="C28" s="38" t="s">
        <v>159</v>
      </c>
      <c r="D28" s="19">
        <v>89961</v>
      </c>
      <c r="E28" s="38">
        <v>86086</v>
      </c>
      <c r="F28" s="111" t="s">
        <v>160</v>
      </c>
      <c r="G28" s="2">
        <f t="shared" si="0"/>
        <v>43043</v>
      </c>
      <c r="H28" s="2"/>
      <c r="I28" s="2"/>
      <c r="J28" s="2"/>
      <c r="K28" s="2"/>
    </row>
    <row r="29" ht="28.5" customHeight="1" spans="1:11">
      <c r="A29" s="19">
        <v>29</v>
      </c>
      <c r="B29" s="37" t="s">
        <v>161</v>
      </c>
      <c r="C29" s="38" t="s">
        <v>159</v>
      </c>
      <c r="D29" s="19">
        <v>75000</v>
      </c>
      <c r="E29" s="38">
        <v>74725</v>
      </c>
      <c r="F29" s="111" t="s">
        <v>162</v>
      </c>
      <c r="G29" s="2">
        <f t="shared" si="0"/>
        <v>37363</v>
      </c>
      <c r="H29" s="2"/>
      <c r="I29" s="2"/>
      <c r="J29" s="2"/>
      <c r="K29" s="2"/>
    </row>
    <row r="30" ht="28.5" customHeight="1" spans="1:11">
      <c r="A30" s="19">
        <v>30</v>
      </c>
      <c r="B30" s="37" t="s">
        <v>163</v>
      </c>
      <c r="C30" s="38" t="s">
        <v>164</v>
      </c>
      <c r="D30" s="19">
        <v>45000</v>
      </c>
      <c r="E30" s="38">
        <v>44725</v>
      </c>
      <c r="F30" s="111" t="s">
        <v>165</v>
      </c>
      <c r="G30" s="2">
        <f t="shared" si="0"/>
        <v>22363</v>
      </c>
      <c r="H30" s="2"/>
      <c r="I30" s="2"/>
      <c r="J30" s="2"/>
      <c r="K30" s="2"/>
    </row>
    <row r="31" ht="28.5" customHeight="1" spans="1:11">
      <c r="A31" s="19">
        <v>31</v>
      </c>
      <c r="B31" s="37" t="s">
        <v>166</v>
      </c>
      <c r="C31" s="38" t="s">
        <v>164</v>
      </c>
      <c r="D31" s="19">
        <v>55000</v>
      </c>
      <c r="E31" s="38">
        <v>54725</v>
      </c>
      <c r="F31" s="111" t="s">
        <v>167</v>
      </c>
      <c r="G31" s="2">
        <f t="shared" si="0"/>
        <v>27363</v>
      </c>
      <c r="H31" s="2"/>
      <c r="I31" s="2"/>
      <c r="J31" s="2"/>
      <c r="K31" s="2"/>
    </row>
    <row r="32" ht="28.5" customHeight="1" spans="1:11">
      <c r="A32" s="19">
        <v>32</v>
      </c>
      <c r="B32" s="37" t="s">
        <v>168</v>
      </c>
      <c r="C32" s="38" t="s">
        <v>108</v>
      </c>
      <c r="D32" s="19">
        <v>65000</v>
      </c>
      <c r="E32" s="38">
        <v>68725</v>
      </c>
      <c r="F32" s="111" t="s">
        <v>169</v>
      </c>
      <c r="G32" s="2">
        <f t="shared" si="0"/>
        <v>34363</v>
      </c>
      <c r="H32" s="2"/>
      <c r="I32" s="2"/>
      <c r="J32" s="2"/>
      <c r="K32" s="2"/>
    </row>
    <row r="33" ht="28.5" customHeight="1" spans="1:11">
      <c r="A33" s="19">
        <v>33</v>
      </c>
      <c r="B33" s="37" t="s">
        <v>170</v>
      </c>
      <c r="C33" s="38" t="s">
        <v>108</v>
      </c>
      <c r="D33" s="19">
        <v>31949</v>
      </c>
      <c r="E33" s="38">
        <v>31674</v>
      </c>
      <c r="F33" s="111" t="s">
        <v>171</v>
      </c>
      <c r="G33" s="2">
        <f t="shared" si="0"/>
        <v>15837</v>
      </c>
      <c r="H33" s="2"/>
      <c r="I33" s="2"/>
      <c r="J33" s="2"/>
      <c r="K33" s="2"/>
    </row>
    <row r="34" ht="28.5" customHeight="1" spans="1:11">
      <c r="A34" s="19">
        <v>34</v>
      </c>
      <c r="B34" s="37" t="s">
        <v>172</v>
      </c>
      <c r="C34" s="38" t="s">
        <v>108</v>
      </c>
      <c r="D34" s="19">
        <v>20000</v>
      </c>
      <c r="E34" s="38">
        <v>19775</v>
      </c>
      <c r="F34" s="111" t="s">
        <v>173</v>
      </c>
      <c r="G34" s="2">
        <f t="shared" si="0"/>
        <v>9888</v>
      </c>
      <c r="H34" s="2"/>
      <c r="I34" s="2"/>
      <c r="J34" s="2"/>
      <c r="K34" s="2"/>
    </row>
    <row r="35" ht="28.5" customHeight="1" spans="1:11">
      <c r="A35" s="19">
        <v>35</v>
      </c>
      <c r="B35" s="37" t="s">
        <v>174</v>
      </c>
      <c r="C35" s="38" t="s">
        <v>108</v>
      </c>
      <c r="D35" s="19">
        <v>25000</v>
      </c>
      <c r="E35" s="38">
        <v>24725</v>
      </c>
      <c r="F35" s="111" t="s">
        <v>175</v>
      </c>
      <c r="G35" s="2">
        <f t="shared" si="0"/>
        <v>12363</v>
      </c>
      <c r="H35" s="2"/>
      <c r="I35" s="2"/>
      <c r="J35" s="2"/>
      <c r="K35" s="2"/>
    </row>
    <row r="36" ht="28.5" customHeight="1" spans="1:11">
      <c r="A36" s="19">
        <v>36</v>
      </c>
      <c r="B36" s="37" t="s">
        <v>176</v>
      </c>
      <c r="C36" s="38" t="s">
        <v>108</v>
      </c>
      <c r="D36" s="19">
        <v>45000</v>
      </c>
      <c r="E36" s="38">
        <v>44725</v>
      </c>
      <c r="F36" s="111" t="s">
        <v>177</v>
      </c>
      <c r="G36" s="2">
        <f t="shared" si="0"/>
        <v>22363</v>
      </c>
      <c r="H36" s="2"/>
      <c r="I36" s="2"/>
      <c r="J36" s="2"/>
      <c r="K36" s="2"/>
    </row>
    <row r="37" ht="28.5" customHeight="1" spans="1:11">
      <c r="A37" s="19">
        <v>37</v>
      </c>
      <c r="B37" s="37" t="s">
        <v>178</v>
      </c>
      <c r="C37" s="38" t="s">
        <v>108</v>
      </c>
      <c r="D37" s="19">
        <v>15000</v>
      </c>
      <c r="E37" s="38">
        <v>14925</v>
      </c>
      <c r="F37" s="111" t="s">
        <v>179</v>
      </c>
      <c r="G37" s="2">
        <f t="shared" si="0"/>
        <v>7463</v>
      </c>
      <c r="H37" s="2"/>
      <c r="I37" s="2"/>
      <c r="J37" s="2"/>
      <c r="K37" s="2"/>
    </row>
    <row r="38" ht="29.25" customHeight="1" spans="1:11">
      <c r="A38" s="19">
        <v>38</v>
      </c>
      <c r="B38" s="37" t="s">
        <v>180</v>
      </c>
      <c r="C38" s="38" t="s">
        <v>108</v>
      </c>
      <c r="D38" s="19">
        <v>15000</v>
      </c>
      <c r="E38" s="38">
        <v>14925</v>
      </c>
      <c r="F38" s="111" t="s">
        <v>181</v>
      </c>
      <c r="G38" s="2">
        <f t="shared" si="0"/>
        <v>7463</v>
      </c>
      <c r="H38" s="2"/>
      <c r="I38" s="2"/>
      <c r="J38" s="2"/>
      <c r="K38" s="2"/>
    </row>
    <row r="39" ht="28.5" customHeight="1" spans="1:11">
      <c r="A39" s="19">
        <v>39</v>
      </c>
      <c r="B39" s="37" t="s">
        <v>182</v>
      </c>
      <c r="C39" s="38" t="s">
        <v>108</v>
      </c>
      <c r="D39" s="19">
        <v>60000</v>
      </c>
      <c r="E39" s="38">
        <v>59725</v>
      </c>
      <c r="F39" s="111" t="s">
        <v>183</v>
      </c>
      <c r="G39" s="2">
        <f t="shared" si="0"/>
        <v>29863</v>
      </c>
      <c r="H39" s="2"/>
      <c r="I39" s="2"/>
      <c r="J39" s="2"/>
      <c r="K39" s="2"/>
    </row>
    <row r="40" ht="28.5" customHeight="1" spans="1:11">
      <c r="A40" s="19">
        <v>40</v>
      </c>
      <c r="B40" s="37" t="s">
        <v>184</v>
      </c>
      <c r="C40" s="38" t="s">
        <v>108</v>
      </c>
      <c r="D40" s="19">
        <v>25000</v>
      </c>
      <c r="E40" s="38">
        <v>24725</v>
      </c>
      <c r="F40" s="111" t="s">
        <v>185</v>
      </c>
      <c r="G40" s="2">
        <f t="shared" si="0"/>
        <v>12363</v>
      </c>
      <c r="H40" s="2"/>
      <c r="I40" s="2"/>
      <c r="J40" s="2"/>
      <c r="K40" s="2"/>
    </row>
    <row r="41" ht="28.5" customHeight="1" spans="1:11">
      <c r="A41" s="19">
        <v>41</v>
      </c>
      <c r="B41" s="37" t="s">
        <v>186</v>
      </c>
      <c r="C41" s="38" t="s">
        <v>108</v>
      </c>
      <c r="D41" s="19">
        <v>25000</v>
      </c>
      <c r="E41" s="38">
        <v>24725</v>
      </c>
      <c r="F41" s="111" t="s">
        <v>187</v>
      </c>
      <c r="G41" s="2">
        <f t="shared" si="0"/>
        <v>12363</v>
      </c>
      <c r="H41" s="2"/>
      <c r="I41" s="2"/>
      <c r="J41" s="2"/>
      <c r="K41" s="2"/>
    </row>
    <row r="42" ht="28.5" customHeight="1" spans="1:11">
      <c r="A42" s="19">
        <v>42</v>
      </c>
      <c r="B42" s="37" t="s">
        <v>188</v>
      </c>
      <c r="C42" s="38" t="s">
        <v>108</v>
      </c>
      <c r="D42" s="19">
        <v>25000</v>
      </c>
      <c r="E42" s="38">
        <v>24725</v>
      </c>
      <c r="F42" s="111" t="s">
        <v>189</v>
      </c>
      <c r="G42" s="2">
        <f t="shared" si="0"/>
        <v>12363</v>
      </c>
      <c r="H42" s="2"/>
      <c r="I42" s="2"/>
      <c r="J42" s="2"/>
      <c r="K42" s="2"/>
    </row>
    <row r="43" ht="28.5" customHeight="1" spans="1:11">
      <c r="A43" s="19">
        <v>43</v>
      </c>
      <c r="B43" s="37" t="s">
        <v>190</v>
      </c>
      <c r="C43" s="38" t="s">
        <v>191</v>
      </c>
      <c r="D43" s="19">
        <v>80000</v>
      </c>
      <c r="E43" s="38">
        <v>79725</v>
      </c>
      <c r="F43" s="114" t="s">
        <v>192</v>
      </c>
      <c r="G43" s="2">
        <f t="shared" si="0"/>
        <v>39863</v>
      </c>
      <c r="H43" s="2"/>
      <c r="I43" s="2"/>
      <c r="J43" s="2"/>
      <c r="K43" s="2"/>
    </row>
    <row r="44" ht="28.5" customHeight="1" spans="1:11">
      <c r="A44" s="19">
        <v>45</v>
      </c>
      <c r="B44" s="40" t="s">
        <v>195</v>
      </c>
      <c r="C44" s="38" t="s">
        <v>103</v>
      </c>
      <c r="D44" s="19">
        <v>50000</v>
      </c>
      <c r="E44" s="38">
        <v>49725</v>
      </c>
      <c r="F44" s="114" t="s">
        <v>196</v>
      </c>
      <c r="G44" s="2">
        <f t="shared" si="0"/>
        <v>24863</v>
      </c>
      <c r="H44" s="2"/>
      <c r="I44" s="2"/>
      <c r="J44" s="2"/>
      <c r="K44" s="2"/>
    </row>
    <row r="45" ht="28.5" customHeight="1" spans="1:11">
      <c r="A45" s="19">
        <v>46</v>
      </c>
      <c r="B45" s="40" t="s">
        <v>197</v>
      </c>
      <c r="C45" s="38" t="s">
        <v>103</v>
      </c>
      <c r="D45" s="19">
        <v>50000</v>
      </c>
      <c r="E45" s="38">
        <v>49725</v>
      </c>
      <c r="F45" s="114" t="s">
        <v>198</v>
      </c>
      <c r="G45" s="2">
        <f t="shared" si="0"/>
        <v>24863</v>
      </c>
      <c r="H45" s="2"/>
      <c r="I45" s="2"/>
      <c r="J45" s="2"/>
      <c r="K45" s="2"/>
    </row>
    <row r="46" ht="28.5" customHeight="1" spans="1:11">
      <c r="A46" s="19">
        <v>48</v>
      </c>
      <c r="B46" s="37" t="s">
        <v>200</v>
      </c>
      <c r="C46" s="38" t="s">
        <v>103</v>
      </c>
      <c r="D46" s="19">
        <v>46559</v>
      </c>
      <c r="E46" s="38">
        <v>42684</v>
      </c>
      <c r="F46" s="114" t="s">
        <v>201</v>
      </c>
      <c r="G46" s="2">
        <f t="shared" si="0"/>
        <v>21342</v>
      </c>
      <c r="H46" s="2"/>
      <c r="I46" s="2"/>
      <c r="J46" s="2"/>
      <c r="K46" s="2"/>
    </row>
    <row r="47" ht="28.5" customHeight="1" spans="1:11">
      <c r="A47" s="19">
        <v>49</v>
      </c>
      <c r="B47" s="37" t="s">
        <v>202</v>
      </c>
      <c r="C47" s="38" t="s">
        <v>103</v>
      </c>
      <c r="D47" s="19">
        <v>40548</v>
      </c>
      <c r="E47" s="38">
        <v>36673</v>
      </c>
      <c r="F47" s="114" t="s">
        <v>203</v>
      </c>
      <c r="G47" s="2">
        <f t="shared" si="0"/>
        <v>18337</v>
      </c>
      <c r="H47" s="2"/>
      <c r="I47" s="2"/>
      <c r="J47" s="2"/>
      <c r="K47" s="2"/>
    </row>
    <row r="48" ht="28.5" customHeight="1" spans="1:11">
      <c r="A48" s="19">
        <v>50</v>
      </c>
      <c r="B48" s="37" t="s">
        <v>204</v>
      </c>
      <c r="C48" s="38" t="s">
        <v>103</v>
      </c>
      <c r="D48" s="19">
        <v>36045</v>
      </c>
      <c r="E48" s="38">
        <v>36170</v>
      </c>
      <c r="F48" s="114" t="s">
        <v>205</v>
      </c>
      <c r="G48" s="2">
        <f t="shared" si="0"/>
        <v>18085</v>
      </c>
      <c r="H48" s="2"/>
      <c r="I48" s="2"/>
      <c r="J48" s="2"/>
      <c r="K48" s="2"/>
    </row>
    <row r="49" ht="28.5" customHeight="1" spans="1:11">
      <c r="A49" s="19">
        <v>52</v>
      </c>
      <c r="B49" s="37" t="s">
        <v>208</v>
      </c>
      <c r="C49" s="38" t="s">
        <v>103</v>
      </c>
      <c r="D49" s="19">
        <v>45000</v>
      </c>
      <c r="E49" s="38">
        <v>44725</v>
      </c>
      <c r="F49" s="114" t="s">
        <v>209</v>
      </c>
      <c r="G49" s="2">
        <f t="shared" si="0"/>
        <v>22363</v>
      </c>
      <c r="H49" s="2"/>
      <c r="I49" s="2"/>
      <c r="J49" s="2"/>
      <c r="K49" s="2"/>
    </row>
    <row r="50" ht="28.5" customHeight="1" spans="1:11">
      <c r="A50" s="19">
        <v>53</v>
      </c>
      <c r="B50" s="37" t="s">
        <v>210</v>
      </c>
      <c r="C50" s="38" t="s">
        <v>211</v>
      </c>
      <c r="D50" s="19">
        <v>20000</v>
      </c>
      <c r="E50" s="38">
        <v>19775</v>
      </c>
      <c r="F50" s="114" t="s">
        <v>212</v>
      </c>
      <c r="G50" s="2">
        <f t="shared" si="0"/>
        <v>9888</v>
      </c>
      <c r="H50" s="2"/>
      <c r="I50" s="2"/>
      <c r="J50" s="2"/>
      <c r="K50" s="2"/>
    </row>
    <row r="51" ht="28.5" customHeight="1" spans="1:11">
      <c r="A51" s="19">
        <v>54</v>
      </c>
      <c r="B51" s="37" t="s">
        <v>213</v>
      </c>
      <c r="C51" s="38" t="s">
        <v>108</v>
      </c>
      <c r="D51" s="19">
        <v>34510</v>
      </c>
      <c r="E51" s="38">
        <v>34235</v>
      </c>
      <c r="F51" s="114" t="s">
        <v>214</v>
      </c>
      <c r="G51" s="2">
        <f t="shared" si="0"/>
        <v>17118</v>
      </c>
      <c r="H51" s="2"/>
      <c r="I51" s="2"/>
      <c r="J51" s="2"/>
      <c r="K51" s="2"/>
    </row>
    <row r="52" ht="28.5" customHeight="1" spans="1:11">
      <c r="A52" s="19">
        <v>55</v>
      </c>
      <c r="B52" s="37" t="s">
        <v>215</v>
      </c>
      <c r="C52" s="38" t="s">
        <v>108</v>
      </c>
      <c r="D52" s="19">
        <v>65000</v>
      </c>
      <c r="E52" s="38">
        <v>64725</v>
      </c>
      <c r="F52" s="114" t="s">
        <v>216</v>
      </c>
      <c r="G52" s="2">
        <f t="shared" si="0"/>
        <v>32363</v>
      </c>
      <c r="H52" s="2"/>
      <c r="I52" s="2"/>
      <c r="J52" s="2"/>
      <c r="K52" s="2"/>
    </row>
    <row r="53" ht="28.5" customHeight="1" spans="1:11">
      <c r="A53" s="19">
        <v>56</v>
      </c>
      <c r="B53" s="37" t="s">
        <v>217</v>
      </c>
      <c r="C53" s="38" t="s">
        <v>108</v>
      </c>
      <c r="D53" s="19">
        <v>23000</v>
      </c>
      <c r="E53" s="38">
        <v>22725</v>
      </c>
      <c r="F53" s="114" t="s">
        <v>218</v>
      </c>
      <c r="G53" s="2">
        <f t="shared" si="0"/>
        <v>11363</v>
      </c>
      <c r="H53" s="2"/>
      <c r="I53" s="2"/>
      <c r="J53" s="2"/>
      <c r="K53" s="2"/>
    </row>
    <row r="54" ht="28.5" customHeight="1" spans="1:11">
      <c r="A54" s="19">
        <v>58</v>
      </c>
      <c r="B54" s="37" t="s">
        <v>221</v>
      </c>
      <c r="C54" s="38" t="s">
        <v>108</v>
      </c>
      <c r="D54" s="19">
        <v>33460</v>
      </c>
      <c r="E54" s="38">
        <v>33185</v>
      </c>
      <c r="F54" s="114" t="s">
        <v>222</v>
      </c>
      <c r="G54" s="2">
        <f t="shared" si="0"/>
        <v>16593</v>
      </c>
      <c r="H54" s="2"/>
      <c r="I54" s="2"/>
      <c r="J54" s="2"/>
      <c r="K54" s="2"/>
    </row>
    <row r="55" ht="28.5" customHeight="1" spans="1:11">
      <c r="A55" s="19">
        <v>59</v>
      </c>
      <c r="B55" s="37" t="s">
        <v>223</v>
      </c>
      <c r="C55" s="38" t="s">
        <v>108</v>
      </c>
      <c r="D55" s="19">
        <v>17000</v>
      </c>
      <c r="E55" s="38">
        <v>16775</v>
      </c>
      <c r="F55" s="114" t="s">
        <v>224</v>
      </c>
      <c r="G55" s="2">
        <f t="shared" si="0"/>
        <v>8388</v>
      </c>
      <c r="H55" s="2"/>
      <c r="I55" s="2"/>
      <c r="J55" s="2"/>
      <c r="K55" s="2"/>
    </row>
    <row r="56" ht="28.5" customHeight="1" spans="1:11">
      <c r="A56" s="19">
        <v>60</v>
      </c>
      <c r="B56" s="37" t="s">
        <v>225</v>
      </c>
      <c r="C56" s="38" t="s">
        <v>108</v>
      </c>
      <c r="D56" s="19">
        <v>75000</v>
      </c>
      <c r="E56" s="38">
        <v>74725</v>
      </c>
      <c r="F56" s="114" t="s">
        <v>226</v>
      </c>
      <c r="G56" s="2">
        <f t="shared" si="0"/>
        <v>37363</v>
      </c>
      <c r="H56" s="2"/>
      <c r="I56" s="2"/>
      <c r="J56" s="2"/>
      <c r="K56" s="2"/>
    </row>
    <row r="57" ht="28.5" customHeight="1" spans="1:11">
      <c r="A57" s="19">
        <v>61</v>
      </c>
      <c r="B57" s="37" t="s">
        <v>227</v>
      </c>
      <c r="C57" s="38" t="s">
        <v>108</v>
      </c>
      <c r="D57" s="19">
        <v>18000</v>
      </c>
      <c r="E57" s="38">
        <v>17775</v>
      </c>
      <c r="F57" s="114" t="s">
        <v>228</v>
      </c>
      <c r="G57" s="2">
        <f t="shared" si="0"/>
        <v>8888</v>
      </c>
      <c r="H57" s="2"/>
      <c r="I57" s="2"/>
      <c r="J57" s="2"/>
      <c r="K57" s="2"/>
    </row>
    <row r="58" ht="28.5" customHeight="1" spans="1:11">
      <c r="A58" s="19">
        <v>62</v>
      </c>
      <c r="B58" s="37" t="s">
        <v>229</v>
      </c>
      <c r="C58" s="38" t="s">
        <v>108</v>
      </c>
      <c r="D58" s="19">
        <v>50000</v>
      </c>
      <c r="E58" s="38">
        <v>49725</v>
      </c>
      <c r="F58" s="114" t="s">
        <v>230</v>
      </c>
      <c r="G58" s="2">
        <f t="shared" si="0"/>
        <v>24863</v>
      </c>
      <c r="H58" s="2"/>
      <c r="I58" s="2"/>
      <c r="J58" s="2"/>
      <c r="K58" s="2"/>
    </row>
    <row r="59" ht="28.5" customHeight="1" spans="1:11">
      <c r="A59" s="19">
        <v>63</v>
      </c>
      <c r="B59" s="37" t="s">
        <v>231</v>
      </c>
      <c r="C59" s="38" t="s">
        <v>108</v>
      </c>
      <c r="D59" s="19">
        <v>31460</v>
      </c>
      <c r="E59" s="38">
        <v>31185</v>
      </c>
      <c r="F59" s="114" t="s">
        <v>232</v>
      </c>
      <c r="G59" s="2">
        <f t="shared" si="0"/>
        <v>15593</v>
      </c>
      <c r="H59" s="2"/>
      <c r="I59" s="2"/>
      <c r="J59" s="2"/>
      <c r="K59" s="2"/>
    </row>
    <row r="60" ht="28.5" customHeight="1" spans="1:11">
      <c r="A60" s="19">
        <v>64</v>
      </c>
      <c r="B60" s="37" t="s">
        <v>233</v>
      </c>
      <c r="C60" s="38" t="s">
        <v>108</v>
      </c>
      <c r="D60" s="19">
        <v>65000</v>
      </c>
      <c r="E60" s="38">
        <v>64725</v>
      </c>
      <c r="F60" s="114" t="s">
        <v>234</v>
      </c>
      <c r="G60" s="2">
        <f t="shared" si="0"/>
        <v>32363</v>
      </c>
      <c r="H60" s="2"/>
      <c r="I60" s="2"/>
      <c r="J60" s="2"/>
      <c r="K60" s="2"/>
    </row>
    <row r="61" ht="28.5" customHeight="1" spans="1:11">
      <c r="A61" s="19">
        <v>65</v>
      </c>
      <c r="B61" s="37" t="s">
        <v>235</v>
      </c>
      <c r="C61" s="38" t="s">
        <v>108</v>
      </c>
      <c r="D61" s="19">
        <v>15000</v>
      </c>
      <c r="E61" s="38">
        <v>14970</v>
      </c>
      <c r="F61" s="114" t="s">
        <v>236</v>
      </c>
      <c r="G61" s="2">
        <f t="shared" si="0"/>
        <v>7485</v>
      </c>
      <c r="H61" s="2"/>
      <c r="I61" s="2"/>
      <c r="J61" s="2"/>
      <c r="K61" s="2"/>
    </row>
    <row r="62" ht="28.5" customHeight="1" spans="1:11">
      <c r="A62" s="19">
        <v>66</v>
      </c>
      <c r="B62" s="37" t="s">
        <v>237</v>
      </c>
      <c r="C62" s="38" t="s">
        <v>108</v>
      </c>
      <c r="D62" s="19">
        <v>15000</v>
      </c>
      <c r="E62" s="38">
        <v>13170</v>
      </c>
      <c r="F62" s="114" t="s">
        <v>238</v>
      </c>
      <c r="G62" s="2">
        <f t="shared" si="0"/>
        <v>6585</v>
      </c>
      <c r="H62" s="2"/>
      <c r="I62" s="2"/>
      <c r="J62" s="2"/>
      <c r="K62" s="2"/>
    </row>
    <row r="63" ht="28.5" customHeight="1" spans="1:11">
      <c r="A63" s="19">
        <v>67</v>
      </c>
      <c r="B63" s="37" t="s">
        <v>239</v>
      </c>
      <c r="C63" s="38" t="s">
        <v>108</v>
      </c>
      <c r="D63" s="19">
        <v>25000</v>
      </c>
      <c r="E63" s="38">
        <v>24725</v>
      </c>
      <c r="F63" s="114" t="s">
        <v>240</v>
      </c>
      <c r="G63" s="2">
        <f t="shared" si="0"/>
        <v>12363</v>
      </c>
      <c r="H63" s="2"/>
      <c r="I63" s="2"/>
      <c r="J63" s="2"/>
      <c r="K63" s="2"/>
    </row>
    <row r="64" ht="28.5" customHeight="1" spans="1:11">
      <c r="A64" s="19">
        <v>68</v>
      </c>
      <c r="B64" s="37" t="s">
        <v>241</v>
      </c>
      <c r="C64" s="38" t="s">
        <v>242</v>
      </c>
      <c r="D64" s="19">
        <v>40395</v>
      </c>
      <c r="E64" s="38">
        <v>36520</v>
      </c>
      <c r="F64" s="114" t="s">
        <v>243</v>
      </c>
      <c r="G64" s="2">
        <f t="shared" si="0"/>
        <v>18260</v>
      </c>
      <c r="H64" s="2"/>
      <c r="I64" s="2"/>
      <c r="J64" s="2"/>
      <c r="K64" s="2"/>
    </row>
    <row r="65" ht="28.5" customHeight="1" spans="1:11">
      <c r="A65" s="19">
        <v>69</v>
      </c>
      <c r="B65" s="37" t="s">
        <v>244</v>
      </c>
      <c r="C65" s="38" t="s">
        <v>103</v>
      </c>
      <c r="D65" s="19">
        <v>49126</v>
      </c>
      <c r="E65" s="38">
        <v>45251</v>
      </c>
      <c r="F65" s="114" t="s">
        <v>245</v>
      </c>
      <c r="G65" s="2">
        <f t="shared" si="0"/>
        <v>22626</v>
      </c>
      <c r="H65" s="2"/>
      <c r="I65" s="2"/>
      <c r="J65" s="2"/>
      <c r="K65" s="2"/>
    </row>
    <row r="66" ht="28.5" customHeight="1" spans="1:11">
      <c r="A66" s="19">
        <v>70</v>
      </c>
      <c r="B66" s="37" t="s">
        <v>246</v>
      </c>
      <c r="C66" s="38" t="s">
        <v>103</v>
      </c>
      <c r="D66" s="19">
        <v>50000</v>
      </c>
      <c r="E66" s="38">
        <v>49725</v>
      </c>
      <c r="F66" s="114" t="s">
        <v>247</v>
      </c>
      <c r="G66" s="2">
        <f t="shared" si="0"/>
        <v>24863</v>
      </c>
      <c r="H66" s="2"/>
      <c r="I66" s="2"/>
      <c r="J66" s="2"/>
      <c r="K66" s="2"/>
    </row>
    <row r="67" ht="28.5" customHeight="1" spans="1:11">
      <c r="A67" s="19">
        <v>72</v>
      </c>
      <c r="B67" s="37" t="s">
        <v>249</v>
      </c>
      <c r="C67" s="38" t="s">
        <v>103</v>
      </c>
      <c r="D67" s="19">
        <v>75000</v>
      </c>
      <c r="E67" s="38">
        <v>74725</v>
      </c>
      <c r="F67" s="114" t="s">
        <v>250</v>
      </c>
      <c r="G67" s="2">
        <f t="shared" si="0"/>
        <v>37363</v>
      </c>
      <c r="H67" s="2"/>
      <c r="I67" s="2"/>
      <c r="J67" s="2"/>
      <c r="K67" s="2"/>
    </row>
    <row r="68" ht="28.5" customHeight="1" spans="1:11">
      <c r="A68" s="19">
        <v>73</v>
      </c>
      <c r="B68" s="37" t="s">
        <v>251</v>
      </c>
      <c r="C68" s="38" t="s">
        <v>103</v>
      </c>
      <c r="D68" s="19">
        <v>50000</v>
      </c>
      <c r="E68" s="38">
        <v>49725</v>
      </c>
      <c r="F68" s="114" t="s">
        <v>252</v>
      </c>
      <c r="G68" s="2">
        <f t="shared" si="0"/>
        <v>24863</v>
      </c>
      <c r="H68" s="2"/>
      <c r="I68" s="2"/>
      <c r="J68" s="2"/>
      <c r="K68" s="2"/>
    </row>
    <row r="69" ht="28.5" customHeight="1" spans="1:11">
      <c r="A69" s="19">
        <v>74</v>
      </c>
      <c r="B69" s="37" t="s">
        <v>253</v>
      </c>
      <c r="C69" s="38" t="s">
        <v>108</v>
      </c>
      <c r="D69" s="19">
        <v>17000</v>
      </c>
      <c r="E69" s="38">
        <v>20725</v>
      </c>
      <c r="F69" s="114" t="s">
        <v>254</v>
      </c>
      <c r="G69" s="2">
        <f t="shared" si="0"/>
        <v>10363</v>
      </c>
      <c r="H69" s="2"/>
      <c r="I69" s="2"/>
      <c r="J69" s="2"/>
      <c r="K69" s="2"/>
    </row>
    <row r="70" ht="28.5" customHeight="1" spans="1:11">
      <c r="A70" s="19">
        <v>76</v>
      </c>
      <c r="B70" s="37" t="s">
        <v>257</v>
      </c>
      <c r="C70" s="38" t="s">
        <v>108</v>
      </c>
      <c r="D70" s="19">
        <v>30000</v>
      </c>
      <c r="E70" s="38">
        <v>29725</v>
      </c>
      <c r="F70" s="114" t="s">
        <v>258</v>
      </c>
      <c r="G70" s="2">
        <f t="shared" si="0"/>
        <v>14863</v>
      </c>
      <c r="H70" s="2"/>
      <c r="I70" s="2"/>
      <c r="J70" s="2"/>
      <c r="K70" s="2"/>
    </row>
    <row r="71" ht="28.5" customHeight="1" spans="1:11">
      <c r="A71" s="19">
        <v>77</v>
      </c>
      <c r="B71" s="37" t="s">
        <v>259</v>
      </c>
      <c r="C71" s="38" t="s">
        <v>108</v>
      </c>
      <c r="D71" s="19">
        <v>32000</v>
      </c>
      <c r="E71" s="38">
        <v>31725</v>
      </c>
      <c r="F71" s="114" t="s">
        <v>260</v>
      </c>
      <c r="G71" s="2">
        <f t="shared" si="0"/>
        <v>15863</v>
      </c>
      <c r="H71" s="2"/>
      <c r="I71" s="2"/>
      <c r="J71" s="2"/>
      <c r="K71" s="2"/>
    </row>
    <row r="72" ht="28.5" customHeight="1" spans="1:11">
      <c r="A72" s="19">
        <v>79</v>
      </c>
      <c r="B72" s="37" t="s">
        <v>263</v>
      </c>
      <c r="C72" s="38" t="s">
        <v>108</v>
      </c>
      <c r="D72" s="19">
        <v>35000</v>
      </c>
      <c r="E72" s="38">
        <v>34725</v>
      </c>
      <c r="F72" s="114" t="s">
        <v>264</v>
      </c>
      <c r="G72" s="2">
        <f t="shared" si="0"/>
        <v>17363</v>
      </c>
      <c r="H72" s="2"/>
      <c r="I72" s="2"/>
      <c r="J72" s="2"/>
      <c r="K72" s="2"/>
    </row>
    <row r="73" ht="28.5" customHeight="1" spans="1:11">
      <c r="A73" s="19">
        <v>80</v>
      </c>
      <c r="B73" s="37" t="s">
        <v>265</v>
      </c>
      <c r="C73" s="38" t="s">
        <v>266</v>
      </c>
      <c r="D73" s="19">
        <v>52000</v>
      </c>
      <c r="E73" s="38">
        <v>51770</v>
      </c>
      <c r="F73" s="114" t="s">
        <v>267</v>
      </c>
      <c r="G73" s="2">
        <f t="shared" si="0"/>
        <v>25885</v>
      </c>
      <c r="H73" s="2"/>
      <c r="I73" s="2"/>
      <c r="J73" s="2"/>
      <c r="K73" s="2"/>
    </row>
    <row r="74" ht="28.5" customHeight="1" spans="1:11">
      <c r="A74" s="19">
        <v>81</v>
      </c>
      <c r="B74" s="37" t="s">
        <v>268</v>
      </c>
      <c r="C74" s="38" t="s">
        <v>108</v>
      </c>
      <c r="D74" s="19">
        <v>29000</v>
      </c>
      <c r="E74" s="38">
        <v>28770</v>
      </c>
      <c r="F74" s="114" t="s">
        <v>269</v>
      </c>
      <c r="G74" s="2">
        <f t="shared" si="0"/>
        <v>14385</v>
      </c>
      <c r="H74" s="2"/>
      <c r="I74" s="2"/>
      <c r="J74" s="2"/>
      <c r="K74" s="2"/>
    </row>
    <row r="75" ht="28.5" customHeight="1" spans="1:11">
      <c r="A75" s="19">
        <v>82</v>
      </c>
      <c r="B75" s="37" t="s">
        <v>270</v>
      </c>
      <c r="C75" s="38" t="s">
        <v>108</v>
      </c>
      <c r="D75" s="19">
        <v>15000</v>
      </c>
      <c r="E75" s="38">
        <v>14970</v>
      </c>
      <c r="F75" s="114" t="s">
        <v>271</v>
      </c>
      <c r="G75" s="2">
        <f t="shared" si="0"/>
        <v>7485</v>
      </c>
      <c r="H75" s="2"/>
      <c r="I75" s="2"/>
      <c r="J75" s="2"/>
      <c r="K75" s="2"/>
    </row>
    <row r="76" ht="28.5" customHeight="1" spans="1:11">
      <c r="A76" s="19">
        <v>83</v>
      </c>
      <c r="B76" s="37" t="s">
        <v>272</v>
      </c>
      <c r="C76" s="38" t="s">
        <v>108</v>
      </c>
      <c r="D76" s="19">
        <v>50000</v>
      </c>
      <c r="E76" s="38">
        <v>49770</v>
      </c>
      <c r="F76" s="114" t="s">
        <v>273</v>
      </c>
      <c r="G76" s="2">
        <f t="shared" si="0"/>
        <v>24885</v>
      </c>
      <c r="H76" s="2"/>
      <c r="I76" s="2"/>
      <c r="J76" s="2"/>
      <c r="K76" s="2"/>
    </row>
    <row r="77" ht="28.5" customHeight="1" spans="1:11">
      <c r="A77" s="19">
        <v>84</v>
      </c>
      <c r="B77" s="37" t="s">
        <v>274</v>
      </c>
      <c r="C77" s="38" t="s">
        <v>108</v>
      </c>
      <c r="D77" s="19">
        <v>16000</v>
      </c>
      <c r="E77" s="38">
        <v>15820</v>
      </c>
      <c r="F77" s="114" t="s">
        <v>275</v>
      </c>
      <c r="G77" s="2">
        <f t="shared" si="0"/>
        <v>7910</v>
      </c>
      <c r="H77" s="2"/>
      <c r="I77" s="2"/>
      <c r="J77" s="2"/>
      <c r="K77" s="2"/>
    </row>
    <row r="78" ht="28.5" customHeight="1" spans="1:11">
      <c r="A78" s="19">
        <v>85</v>
      </c>
      <c r="B78" s="37" t="s">
        <v>276</v>
      </c>
      <c r="C78" s="38" t="s">
        <v>108</v>
      </c>
      <c r="D78" s="19">
        <v>12000</v>
      </c>
      <c r="E78" s="38">
        <v>11925</v>
      </c>
      <c r="F78" s="114" t="s">
        <v>277</v>
      </c>
      <c r="G78" s="2">
        <f t="shared" si="0"/>
        <v>5963</v>
      </c>
      <c r="H78" s="2"/>
      <c r="I78" s="2"/>
      <c r="J78" s="2"/>
      <c r="K78" s="2"/>
    </row>
    <row r="79" ht="28.5" customHeight="1" spans="1:11">
      <c r="A79" s="19">
        <v>88</v>
      </c>
      <c r="B79" s="37" t="s">
        <v>282</v>
      </c>
      <c r="C79" s="38" t="s">
        <v>159</v>
      </c>
      <c r="D79" s="19">
        <v>65000</v>
      </c>
      <c r="E79" s="38">
        <v>64725</v>
      </c>
      <c r="F79" s="114" t="s">
        <v>283</v>
      </c>
      <c r="G79" s="2">
        <f t="shared" si="0"/>
        <v>32363</v>
      </c>
      <c r="H79" s="2"/>
      <c r="I79" s="2"/>
      <c r="J79" s="2"/>
      <c r="K79" s="2"/>
    </row>
    <row r="80" ht="28.5" customHeight="1" spans="1:11">
      <c r="A80" s="19">
        <v>89</v>
      </c>
      <c r="B80" s="37" t="s">
        <v>284</v>
      </c>
      <c r="C80" s="38" t="s">
        <v>211</v>
      </c>
      <c r="D80" s="19">
        <v>35000</v>
      </c>
      <c r="E80" s="38">
        <v>34725</v>
      </c>
      <c r="F80" s="114" t="s">
        <v>285</v>
      </c>
      <c r="G80" s="2">
        <f t="shared" si="0"/>
        <v>17363</v>
      </c>
      <c r="H80" s="2"/>
      <c r="I80" s="2"/>
      <c r="J80" s="2"/>
      <c r="K80" s="2"/>
    </row>
    <row r="81" ht="28.5" customHeight="1" spans="1:11">
      <c r="A81" s="19">
        <v>90</v>
      </c>
      <c r="B81" s="37" t="s">
        <v>286</v>
      </c>
      <c r="C81" s="38" t="s">
        <v>211</v>
      </c>
      <c r="D81" s="19">
        <v>45000</v>
      </c>
      <c r="E81" s="38">
        <v>44725</v>
      </c>
      <c r="F81" s="114" t="s">
        <v>287</v>
      </c>
      <c r="G81" s="2">
        <f t="shared" si="0"/>
        <v>22363</v>
      </c>
      <c r="H81" s="2"/>
      <c r="I81" s="2"/>
      <c r="J81" s="2"/>
      <c r="K81" s="2"/>
    </row>
    <row r="82" ht="28.5" customHeight="1" spans="1:11">
      <c r="A82" s="19">
        <v>91</v>
      </c>
      <c r="B82" s="37" t="s">
        <v>288</v>
      </c>
      <c r="C82" s="38" t="s">
        <v>211</v>
      </c>
      <c r="D82" s="19">
        <v>35000</v>
      </c>
      <c r="E82" s="38">
        <v>34725</v>
      </c>
      <c r="F82" s="114" t="s">
        <v>289</v>
      </c>
      <c r="G82" s="2">
        <f t="shared" si="0"/>
        <v>17363</v>
      </c>
      <c r="H82" s="2"/>
      <c r="I82" s="2"/>
      <c r="J82" s="2"/>
      <c r="K82" s="2"/>
    </row>
    <row r="83" ht="28.5" customHeight="1" spans="1:11">
      <c r="A83" s="19">
        <v>94</v>
      </c>
      <c r="B83" s="37" t="s">
        <v>294</v>
      </c>
      <c r="C83" s="38" t="s">
        <v>211</v>
      </c>
      <c r="D83" s="19">
        <v>50000</v>
      </c>
      <c r="E83" s="38">
        <v>49725</v>
      </c>
      <c r="F83" s="114" t="s">
        <v>295</v>
      </c>
      <c r="G83" s="2">
        <f t="shared" si="0"/>
        <v>24863</v>
      </c>
      <c r="H83" s="2"/>
      <c r="I83" s="2"/>
      <c r="J83" s="2"/>
      <c r="K83" s="2"/>
    </row>
    <row r="84" ht="28.5" customHeight="1" spans="1:11">
      <c r="A84" s="19">
        <v>95</v>
      </c>
      <c r="B84" s="37" t="s">
        <v>296</v>
      </c>
      <c r="C84" s="38" t="s">
        <v>242</v>
      </c>
      <c r="D84" s="19">
        <v>75085</v>
      </c>
      <c r="E84" s="38">
        <v>74810</v>
      </c>
      <c r="F84" s="114" t="s">
        <v>297</v>
      </c>
      <c r="G84" s="2">
        <f t="shared" si="0"/>
        <v>37405</v>
      </c>
      <c r="H84" s="2"/>
      <c r="I84" s="2"/>
      <c r="J84" s="2"/>
      <c r="K84" s="2"/>
    </row>
    <row r="85" ht="28.5" customHeight="1" spans="1:11">
      <c r="A85" s="19">
        <v>96</v>
      </c>
      <c r="B85" s="37" t="s">
        <v>298</v>
      </c>
      <c r="C85" s="38" t="s">
        <v>299</v>
      </c>
      <c r="D85" s="19">
        <v>35000</v>
      </c>
      <c r="E85" s="38">
        <v>34725</v>
      </c>
      <c r="F85" s="114" t="s">
        <v>300</v>
      </c>
      <c r="G85" s="2">
        <f t="shared" si="0"/>
        <v>17363</v>
      </c>
      <c r="H85" s="2"/>
      <c r="I85" s="2"/>
      <c r="J85" s="2"/>
      <c r="K85" s="2"/>
    </row>
    <row r="86" ht="28.5" customHeight="1" spans="1:11">
      <c r="A86" s="19">
        <v>97</v>
      </c>
      <c r="B86" s="37" t="s">
        <v>301</v>
      </c>
      <c r="C86" s="38" t="s">
        <v>108</v>
      </c>
      <c r="D86" s="19">
        <v>20000</v>
      </c>
      <c r="E86" s="38">
        <v>19775</v>
      </c>
      <c r="F86" s="114" t="s">
        <v>302</v>
      </c>
      <c r="G86" s="2">
        <f t="shared" si="0"/>
        <v>9888</v>
      </c>
      <c r="H86" s="2"/>
      <c r="I86" s="2"/>
      <c r="J86" s="2"/>
      <c r="K86" s="2"/>
    </row>
    <row r="87" ht="28.5" customHeight="1" spans="1:11">
      <c r="A87" s="19">
        <v>100</v>
      </c>
      <c r="B87" s="37" t="s">
        <v>307</v>
      </c>
      <c r="C87" s="38" t="s">
        <v>308</v>
      </c>
      <c r="D87" s="38">
        <v>74994</v>
      </c>
      <c r="E87" s="38">
        <v>71119</v>
      </c>
      <c r="F87" s="114" t="s">
        <v>309</v>
      </c>
      <c r="G87" s="2">
        <f t="shared" si="0"/>
        <v>35560</v>
      </c>
      <c r="H87" s="2"/>
      <c r="I87" s="2"/>
      <c r="J87" s="2"/>
      <c r="K87" s="2"/>
    </row>
    <row r="88" ht="28.5" customHeight="1" spans="1:11">
      <c r="A88" s="19">
        <v>101</v>
      </c>
      <c r="B88" s="37" t="s">
        <v>310</v>
      </c>
      <c r="C88" s="38" t="s">
        <v>103</v>
      </c>
      <c r="D88" s="19">
        <v>32905</v>
      </c>
      <c r="E88" s="38">
        <v>32630</v>
      </c>
      <c r="F88" s="114" t="s">
        <v>311</v>
      </c>
      <c r="G88" s="2">
        <f t="shared" si="0"/>
        <v>16315</v>
      </c>
      <c r="H88" s="2"/>
      <c r="I88" s="2"/>
      <c r="J88" s="2"/>
      <c r="K88" s="2"/>
    </row>
    <row r="89" ht="28.5" customHeight="1" spans="1:11">
      <c r="A89" s="19">
        <v>102</v>
      </c>
      <c r="B89" s="37" t="s">
        <v>312</v>
      </c>
      <c r="C89" s="38" t="s">
        <v>103</v>
      </c>
      <c r="D89" s="19">
        <v>32905</v>
      </c>
      <c r="E89" s="38">
        <v>32630</v>
      </c>
      <c r="F89" s="114" t="s">
        <v>313</v>
      </c>
      <c r="G89" s="2">
        <f t="shared" si="0"/>
        <v>16315</v>
      </c>
      <c r="H89" s="2"/>
      <c r="I89" s="2"/>
      <c r="J89" s="2"/>
      <c r="K89" s="2"/>
    </row>
    <row r="90" ht="28.5" customHeight="1" spans="1:11">
      <c r="A90" s="19">
        <v>103</v>
      </c>
      <c r="B90" s="37" t="s">
        <v>314</v>
      </c>
      <c r="C90" s="38" t="s">
        <v>108</v>
      </c>
      <c r="D90" s="19">
        <v>50000</v>
      </c>
      <c r="E90" s="38">
        <v>49725</v>
      </c>
      <c r="F90" s="114" t="s">
        <v>315</v>
      </c>
      <c r="G90" s="2">
        <f t="shared" si="0"/>
        <v>24863</v>
      </c>
      <c r="H90" s="2"/>
      <c r="I90" s="2"/>
      <c r="J90" s="2"/>
      <c r="K90" s="2"/>
    </row>
    <row r="91" ht="28.5" customHeight="1" spans="1:11">
      <c r="A91" s="19">
        <v>104</v>
      </c>
      <c r="B91" s="37" t="s">
        <v>316</v>
      </c>
      <c r="C91" s="38" t="s">
        <v>108</v>
      </c>
      <c r="D91" s="19">
        <v>35000</v>
      </c>
      <c r="E91" s="38">
        <v>34725</v>
      </c>
      <c r="F91" s="114" t="s">
        <v>317</v>
      </c>
      <c r="G91" s="2">
        <f t="shared" si="0"/>
        <v>17363</v>
      </c>
      <c r="H91" s="2"/>
      <c r="I91" s="2"/>
      <c r="J91" s="2"/>
      <c r="K91" s="2"/>
    </row>
    <row r="92" ht="28.5" customHeight="1" spans="1:11">
      <c r="A92" s="19">
        <v>105</v>
      </c>
      <c r="B92" s="37" t="s">
        <v>318</v>
      </c>
      <c r="C92" s="38" t="s">
        <v>108</v>
      </c>
      <c r="D92" s="19">
        <v>23460</v>
      </c>
      <c r="E92" s="38">
        <v>19585</v>
      </c>
      <c r="F92" s="114" t="s">
        <v>319</v>
      </c>
      <c r="G92" s="2">
        <f t="shared" si="0"/>
        <v>9793</v>
      </c>
      <c r="H92" s="2"/>
      <c r="I92" s="2"/>
      <c r="J92" s="2"/>
      <c r="K92" s="2"/>
    </row>
    <row r="93" ht="28.5" customHeight="1" spans="1:11">
      <c r="A93" s="19">
        <v>106</v>
      </c>
      <c r="B93" s="37" t="s">
        <v>320</v>
      </c>
      <c r="C93" s="38" t="s">
        <v>108</v>
      </c>
      <c r="D93" s="19">
        <v>35000</v>
      </c>
      <c r="E93" s="38">
        <v>34725</v>
      </c>
      <c r="F93" s="114" t="s">
        <v>321</v>
      </c>
      <c r="G93" s="2">
        <f t="shared" si="0"/>
        <v>17363</v>
      </c>
      <c r="H93" s="2"/>
      <c r="I93" s="2"/>
      <c r="J93" s="2"/>
      <c r="K93" s="2"/>
    </row>
    <row r="94" ht="28.5" customHeight="1" spans="1:11">
      <c r="A94" s="19">
        <v>107</v>
      </c>
      <c r="B94" s="37" t="s">
        <v>322</v>
      </c>
      <c r="C94" s="38" t="s">
        <v>323</v>
      </c>
      <c r="D94" s="38">
        <v>110277</v>
      </c>
      <c r="E94" s="38">
        <v>106402</v>
      </c>
      <c r="F94" s="114" t="s">
        <v>324</v>
      </c>
      <c r="G94" s="2">
        <f t="shared" si="0"/>
        <v>53201</v>
      </c>
      <c r="H94" s="2"/>
      <c r="I94" s="2"/>
      <c r="J94" s="2"/>
      <c r="K94" s="2"/>
    </row>
    <row r="95" ht="28.5" customHeight="1" spans="1:11">
      <c r="A95" s="19">
        <v>108</v>
      </c>
      <c r="B95" s="37" t="s">
        <v>325</v>
      </c>
      <c r="C95" s="38" t="s">
        <v>326</v>
      </c>
      <c r="D95" s="19">
        <v>54103</v>
      </c>
      <c r="E95" s="38">
        <v>53962</v>
      </c>
      <c r="F95" s="114" t="s">
        <v>327</v>
      </c>
      <c r="G95" s="2">
        <f t="shared" si="0"/>
        <v>26981</v>
      </c>
      <c r="H95" s="2"/>
      <c r="I95" s="2"/>
      <c r="J95" s="2"/>
      <c r="K95" s="2"/>
    </row>
    <row r="96" ht="28.5" customHeight="1" spans="1:11">
      <c r="A96" s="19">
        <v>109</v>
      </c>
      <c r="B96" s="37" t="s">
        <v>328</v>
      </c>
      <c r="C96" s="38" t="s">
        <v>103</v>
      </c>
      <c r="D96" s="19">
        <v>42275</v>
      </c>
      <c r="E96" s="38">
        <v>42000</v>
      </c>
      <c r="F96" s="114" t="s">
        <v>329</v>
      </c>
      <c r="G96" s="2">
        <f t="shared" si="0"/>
        <v>21000</v>
      </c>
      <c r="H96" s="2"/>
      <c r="I96" s="2"/>
      <c r="J96" s="2"/>
      <c r="K96" s="2"/>
    </row>
    <row r="97" ht="28.5" customHeight="1" spans="1:11">
      <c r="A97" s="19">
        <v>110</v>
      </c>
      <c r="B97" s="37" t="s">
        <v>330</v>
      </c>
      <c r="C97" s="38" t="s">
        <v>331</v>
      </c>
      <c r="D97" s="19">
        <v>75085</v>
      </c>
      <c r="E97" s="38">
        <v>71210</v>
      </c>
      <c r="F97" s="114" t="s">
        <v>332</v>
      </c>
      <c r="G97" s="2">
        <f t="shared" si="0"/>
        <v>35605</v>
      </c>
      <c r="H97" s="2"/>
      <c r="I97" s="2"/>
      <c r="J97" s="2"/>
      <c r="K97" s="2"/>
    </row>
    <row r="98" ht="28.5" customHeight="1" spans="1:11">
      <c r="A98" s="19">
        <v>111</v>
      </c>
      <c r="B98" s="37" t="s">
        <v>333</v>
      </c>
      <c r="C98" s="38" t="s">
        <v>334</v>
      </c>
      <c r="D98" s="19">
        <v>170000</v>
      </c>
      <c r="E98" s="38">
        <v>169725</v>
      </c>
      <c r="F98" s="114" t="s">
        <v>335</v>
      </c>
      <c r="G98" s="2">
        <f t="shared" si="0"/>
        <v>84863</v>
      </c>
      <c r="H98" s="2"/>
      <c r="I98" s="2"/>
      <c r="J98" s="2"/>
      <c r="K98" s="2"/>
    </row>
    <row r="99" ht="28.5" customHeight="1" spans="1:11">
      <c r="A99" s="19">
        <v>112</v>
      </c>
      <c r="B99" s="37" t="s">
        <v>336</v>
      </c>
      <c r="C99" s="38" t="s">
        <v>108</v>
      </c>
      <c r="D99" s="19">
        <v>24460</v>
      </c>
      <c r="E99" s="38">
        <v>24185</v>
      </c>
      <c r="F99" s="114" t="s">
        <v>337</v>
      </c>
      <c r="G99" s="2">
        <f t="shared" si="0"/>
        <v>12093</v>
      </c>
      <c r="H99" s="2"/>
      <c r="I99" s="2"/>
      <c r="J99" s="2"/>
      <c r="K99" s="2"/>
    </row>
    <row r="100" ht="28.5" customHeight="1" spans="1:11">
      <c r="A100" s="19">
        <v>113</v>
      </c>
      <c r="B100" s="21" t="s">
        <v>338</v>
      </c>
      <c r="C100" s="38" t="s">
        <v>108</v>
      </c>
      <c r="D100" s="19">
        <v>23460</v>
      </c>
      <c r="E100" s="38">
        <v>23185</v>
      </c>
      <c r="F100" s="114" t="s">
        <v>339</v>
      </c>
      <c r="G100" s="2">
        <f t="shared" si="0"/>
        <v>11593</v>
      </c>
      <c r="H100" s="2"/>
      <c r="I100" s="2"/>
      <c r="J100" s="2"/>
      <c r="K100" s="2"/>
    </row>
    <row r="101" ht="28.5" customHeight="1" spans="1:11">
      <c r="A101" s="19">
        <v>114</v>
      </c>
      <c r="B101" s="37" t="s">
        <v>340</v>
      </c>
      <c r="C101" s="38" t="s">
        <v>108</v>
      </c>
      <c r="D101" s="19">
        <v>39632</v>
      </c>
      <c r="E101" s="38">
        <v>40020</v>
      </c>
      <c r="F101" s="114" t="s">
        <v>341</v>
      </c>
      <c r="G101" s="2">
        <f t="shared" si="0"/>
        <v>20010</v>
      </c>
      <c r="H101" s="2"/>
      <c r="I101" s="2"/>
      <c r="J101" s="2"/>
      <c r="K101" s="2"/>
    </row>
    <row r="102" ht="28.5" customHeight="1" spans="1:11">
      <c r="A102" s="19">
        <v>115</v>
      </c>
      <c r="B102" s="37" t="s">
        <v>342</v>
      </c>
      <c r="C102" s="38" t="s">
        <v>108</v>
      </c>
      <c r="D102" s="19">
        <v>20460</v>
      </c>
      <c r="E102" s="38">
        <v>20185</v>
      </c>
      <c r="F102" s="114" t="s">
        <v>343</v>
      </c>
      <c r="G102" s="2">
        <f t="shared" si="0"/>
        <v>10093</v>
      </c>
      <c r="H102" s="2"/>
      <c r="I102" s="2"/>
      <c r="J102" s="2"/>
      <c r="K102" s="2"/>
    </row>
    <row r="103" ht="28.5" customHeight="1" spans="1:11">
      <c r="A103" s="19">
        <v>116</v>
      </c>
      <c r="B103" s="37" t="s">
        <v>344</v>
      </c>
      <c r="C103" s="38" t="s">
        <v>108</v>
      </c>
      <c r="D103" s="19">
        <v>18260</v>
      </c>
      <c r="E103" s="38">
        <v>18035</v>
      </c>
      <c r="F103" s="114" t="s">
        <v>345</v>
      </c>
      <c r="G103" s="2">
        <f t="shared" si="0"/>
        <v>9018</v>
      </c>
      <c r="H103" s="2"/>
      <c r="I103" s="2"/>
      <c r="J103" s="2"/>
      <c r="K103" s="2"/>
    </row>
    <row r="104" ht="28.5" customHeight="1" spans="1:11">
      <c r="A104" s="19">
        <v>117</v>
      </c>
      <c r="B104" s="37" t="s">
        <v>346</v>
      </c>
      <c r="C104" s="38" t="s">
        <v>108</v>
      </c>
      <c r="D104" s="19">
        <v>25000</v>
      </c>
      <c r="E104" s="19">
        <v>24725</v>
      </c>
      <c r="F104" s="114" t="s">
        <v>347</v>
      </c>
      <c r="G104" s="2">
        <f t="shared" si="0"/>
        <v>12363</v>
      </c>
      <c r="H104" s="2"/>
      <c r="I104" s="2"/>
      <c r="J104" s="2"/>
      <c r="K104" s="2"/>
    </row>
    <row r="105" ht="28.5" customHeight="1" spans="1:11">
      <c r="A105" s="19">
        <v>118</v>
      </c>
      <c r="B105" s="37" t="s">
        <v>348</v>
      </c>
      <c r="C105" s="38" t="s">
        <v>108</v>
      </c>
      <c r="D105" s="19">
        <v>25000</v>
      </c>
      <c r="E105" s="19">
        <v>24725</v>
      </c>
      <c r="F105" s="114" t="s">
        <v>349</v>
      </c>
      <c r="G105" s="2">
        <f t="shared" si="0"/>
        <v>12363</v>
      </c>
      <c r="H105" s="2"/>
      <c r="I105" s="2"/>
      <c r="J105" s="2"/>
      <c r="K105" s="2"/>
    </row>
    <row r="106" ht="28.5" customHeight="1" spans="1:11">
      <c r="A106" s="19">
        <v>119</v>
      </c>
      <c r="B106" s="37" t="s">
        <v>350</v>
      </c>
      <c r="C106" s="38" t="s">
        <v>266</v>
      </c>
      <c r="D106" s="19">
        <v>52000</v>
      </c>
      <c r="E106" s="19">
        <v>51725</v>
      </c>
      <c r="F106" s="114" t="s">
        <v>351</v>
      </c>
      <c r="G106" s="2">
        <f t="shared" si="0"/>
        <v>25863</v>
      </c>
      <c r="H106" s="2"/>
      <c r="I106" s="2"/>
      <c r="J106" s="2"/>
      <c r="K106" s="2"/>
    </row>
    <row r="107" ht="28.5" customHeight="1" spans="1:11">
      <c r="A107" s="19">
        <v>120</v>
      </c>
      <c r="B107" s="37" t="s">
        <v>352</v>
      </c>
      <c r="C107" s="38" t="s">
        <v>108</v>
      </c>
      <c r="D107" s="19">
        <v>22000</v>
      </c>
      <c r="E107" s="38">
        <v>21770</v>
      </c>
      <c r="F107" s="114" t="s">
        <v>353</v>
      </c>
      <c r="G107" s="2">
        <f t="shared" si="0"/>
        <v>10885</v>
      </c>
      <c r="H107" s="2"/>
      <c r="I107" s="2"/>
      <c r="J107" s="2"/>
      <c r="K107" s="2"/>
    </row>
    <row r="108" ht="28.5" customHeight="1" spans="1:11">
      <c r="A108" s="19">
        <v>122</v>
      </c>
      <c r="B108" s="37" t="s">
        <v>357</v>
      </c>
      <c r="C108" s="38" t="s">
        <v>103</v>
      </c>
      <c r="D108" s="19">
        <v>51516</v>
      </c>
      <c r="E108" s="38">
        <v>51241</v>
      </c>
      <c r="F108" s="114" t="s">
        <v>358</v>
      </c>
      <c r="G108" s="2">
        <f t="shared" si="0"/>
        <v>25621</v>
      </c>
      <c r="H108" s="2"/>
      <c r="I108" s="2"/>
      <c r="J108" s="2"/>
      <c r="K108" s="2"/>
    </row>
    <row r="109" ht="28.5" customHeight="1" spans="1:11">
      <c r="A109" s="19">
        <v>123</v>
      </c>
      <c r="B109" s="37" t="s">
        <v>359</v>
      </c>
      <c r="C109" s="38" t="s">
        <v>360</v>
      </c>
      <c r="D109" s="19">
        <v>62759</v>
      </c>
      <c r="E109" s="38">
        <v>58884</v>
      </c>
      <c r="F109" s="114" t="s">
        <v>361</v>
      </c>
      <c r="G109" s="2">
        <f t="shared" si="0"/>
        <v>29442</v>
      </c>
      <c r="H109" s="2"/>
      <c r="I109" s="2"/>
      <c r="J109" s="2"/>
      <c r="K109" s="2"/>
    </row>
    <row r="110" ht="28.5" customHeight="1" spans="1:11">
      <c r="A110" s="19">
        <v>124</v>
      </c>
      <c r="B110" s="37" t="s">
        <v>362</v>
      </c>
      <c r="C110" s="38" t="s">
        <v>103</v>
      </c>
      <c r="D110" s="38">
        <v>30000</v>
      </c>
      <c r="E110" s="38">
        <v>26125</v>
      </c>
      <c r="F110" s="114" t="s">
        <v>363</v>
      </c>
      <c r="G110" s="2">
        <f t="shared" si="0"/>
        <v>13063</v>
      </c>
      <c r="H110" s="2"/>
      <c r="I110" s="2"/>
      <c r="J110" s="2"/>
      <c r="K110" s="2"/>
    </row>
    <row r="111" ht="28.5" customHeight="1" spans="1:11">
      <c r="A111" s="19">
        <v>125</v>
      </c>
      <c r="B111" s="37" t="s">
        <v>364</v>
      </c>
      <c r="C111" s="38" t="s">
        <v>108</v>
      </c>
      <c r="D111" s="19">
        <v>35000</v>
      </c>
      <c r="E111" s="38">
        <v>34725</v>
      </c>
      <c r="F111" s="114" t="s">
        <v>365</v>
      </c>
      <c r="G111" s="2">
        <f t="shared" si="0"/>
        <v>17363</v>
      </c>
      <c r="H111" s="2"/>
      <c r="I111" s="2"/>
      <c r="J111" s="2"/>
      <c r="K111" s="2"/>
    </row>
    <row r="112" ht="28.5" customHeight="1" spans="1:11">
      <c r="A112" s="19">
        <v>126</v>
      </c>
      <c r="B112" s="37" t="s">
        <v>366</v>
      </c>
      <c r="C112" s="38" t="s">
        <v>159</v>
      </c>
      <c r="D112" s="19">
        <v>50000</v>
      </c>
      <c r="E112" s="38">
        <v>49725</v>
      </c>
      <c r="F112" s="114" t="s">
        <v>367</v>
      </c>
      <c r="G112" s="2">
        <f t="shared" si="0"/>
        <v>24863</v>
      </c>
      <c r="H112" s="2"/>
      <c r="I112" s="2"/>
      <c r="J112" s="2"/>
      <c r="K112" s="2"/>
    </row>
    <row r="113" ht="28.5" customHeight="1" spans="1:11">
      <c r="A113" s="19">
        <v>127</v>
      </c>
      <c r="B113" s="37" t="s">
        <v>368</v>
      </c>
      <c r="C113" s="38" t="s">
        <v>108</v>
      </c>
      <c r="D113" s="38">
        <v>30000</v>
      </c>
      <c r="E113" s="38">
        <v>29725</v>
      </c>
      <c r="F113" s="114" t="s">
        <v>369</v>
      </c>
      <c r="G113" s="2">
        <f t="shared" si="0"/>
        <v>14863</v>
      </c>
      <c r="H113" s="2"/>
      <c r="I113" s="2"/>
      <c r="J113" s="2"/>
      <c r="K113" s="2"/>
    </row>
    <row r="114" ht="28.5" customHeight="1" spans="1:11">
      <c r="A114" s="19">
        <v>128</v>
      </c>
      <c r="B114" s="37" t="s">
        <v>370</v>
      </c>
      <c r="C114" s="38" t="s">
        <v>108</v>
      </c>
      <c r="D114" s="19">
        <v>24460</v>
      </c>
      <c r="E114" s="38">
        <v>24185</v>
      </c>
      <c r="F114" s="114" t="s">
        <v>371</v>
      </c>
      <c r="G114" s="2">
        <f t="shared" si="0"/>
        <v>12093</v>
      </c>
      <c r="H114" s="2"/>
      <c r="I114" s="2"/>
      <c r="J114" s="2"/>
      <c r="K114" s="2"/>
    </row>
    <row r="115" ht="28.5" customHeight="1" spans="1:11">
      <c r="A115" s="19">
        <v>129</v>
      </c>
      <c r="B115" s="37" t="s">
        <v>372</v>
      </c>
      <c r="C115" s="38" t="s">
        <v>108</v>
      </c>
      <c r="D115" s="38">
        <v>23000</v>
      </c>
      <c r="E115" s="38">
        <v>22725</v>
      </c>
      <c r="F115" s="114" t="s">
        <v>373</v>
      </c>
      <c r="G115" s="2">
        <f t="shared" si="0"/>
        <v>11363</v>
      </c>
      <c r="H115" s="2"/>
      <c r="I115" s="2"/>
      <c r="J115" s="2"/>
      <c r="K115" s="2"/>
    </row>
    <row r="116" ht="28.5" customHeight="1" spans="1:11">
      <c r="A116" s="19">
        <v>130</v>
      </c>
      <c r="B116" s="37" t="s">
        <v>374</v>
      </c>
      <c r="C116" s="38" t="s">
        <v>108</v>
      </c>
      <c r="D116" s="19">
        <v>32460</v>
      </c>
      <c r="E116" s="38">
        <v>32185</v>
      </c>
      <c r="F116" s="114" t="s">
        <v>375</v>
      </c>
      <c r="G116" s="2">
        <f t="shared" si="0"/>
        <v>16093</v>
      </c>
      <c r="H116" s="2"/>
      <c r="I116" s="2"/>
      <c r="J116" s="2"/>
      <c r="K116" s="2"/>
    </row>
    <row r="117" ht="28.5" customHeight="1" spans="1:11">
      <c r="A117" s="19">
        <v>131</v>
      </c>
      <c r="B117" s="37" t="s">
        <v>376</v>
      </c>
      <c r="C117" s="38" t="s">
        <v>108</v>
      </c>
      <c r="D117" s="38">
        <v>22000</v>
      </c>
      <c r="E117" s="38">
        <v>21725</v>
      </c>
      <c r="F117" s="114" t="s">
        <v>377</v>
      </c>
      <c r="G117" s="2">
        <f t="shared" si="0"/>
        <v>10863</v>
      </c>
      <c r="H117" s="2"/>
      <c r="I117" s="2"/>
      <c r="J117" s="2"/>
      <c r="K117" s="2"/>
    </row>
    <row r="118" ht="28.5" customHeight="1" spans="1:11">
      <c r="A118" s="19">
        <v>132</v>
      </c>
      <c r="B118" s="37" t="s">
        <v>378</v>
      </c>
      <c r="C118" s="38" t="s">
        <v>108</v>
      </c>
      <c r="D118" s="19">
        <v>35000</v>
      </c>
      <c r="E118" s="38">
        <v>34725</v>
      </c>
      <c r="F118" s="114" t="s">
        <v>379</v>
      </c>
      <c r="G118" s="2">
        <f t="shared" si="0"/>
        <v>17363</v>
      </c>
      <c r="H118" s="2"/>
      <c r="I118" s="2"/>
      <c r="J118" s="2"/>
      <c r="K118" s="2"/>
    </row>
    <row r="119" ht="28.5" customHeight="1" spans="1:11">
      <c r="A119" s="19">
        <v>133</v>
      </c>
      <c r="B119" s="37" t="s">
        <v>380</v>
      </c>
      <c r="C119" s="38" t="s">
        <v>108</v>
      </c>
      <c r="D119" s="38">
        <v>30000</v>
      </c>
      <c r="E119" s="38">
        <v>29725</v>
      </c>
      <c r="F119" s="114" t="s">
        <v>381</v>
      </c>
      <c r="G119" s="2">
        <f t="shared" si="0"/>
        <v>14863</v>
      </c>
      <c r="H119" s="2"/>
      <c r="I119" s="2"/>
      <c r="J119" s="2"/>
      <c r="K119" s="2"/>
    </row>
    <row r="120" ht="28.5" customHeight="1" spans="1:11">
      <c r="A120" s="19">
        <v>134</v>
      </c>
      <c r="B120" s="37" t="s">
        <v>382</v>
      </c>
      <c r="C120" s="38" t="s">
        <v>108</v>
      </c>
      <c r="D120" s="38">
        <v>17500</v>
      </c>
      <c r="E120" s="38">
        <v>17275</v>
      </c>
      <c r="F120" s="114" t="s">
        <v>383</v>
      </c>
      <c r="G120" s="2">
        <f t="shared" si="0"/>
        <v>8638</v>
      </c>
      <c r="H120" s="2"/>
      <c r="I120" s="2"/>
      <c r="J120" s="2"/>
      <c r="K120" s="2"/>
    </row>
    <row r="121" ht="28.5" customHeight="1" spans="1:11">
      <c r="A121" s="19">
        <v>135</v>
      </c>
      <c r="B121" s="37" t="s">
        <v>384</v>
      </c>
      <c r="C121" s="38" t="s">
        <v>108</v>
      </c>
      <c r="D121" s="38">
        <v>18000</v>
      </c>
      <c r="E121" s="38">
        <v>17775</v>
      </c>
      <c r="F121" s="114" t="s">
        <v>385</v>
      </c>
      <c r="G121" s="2">
        <f t="shared" si="0"/>
        <v>8888</v>
      </c>
      <c r="H121" s="2"/>
      <c r="I121" s="2"/>
      <c r="J121" s="2"/>
      <c r="K121" s="2"/>
    </row>
    <row r="122" ht="28.5" customHeight="1" spans="1:11">
      <c r="A122" s="19">
        <v>136</v>
      </c>
      <c r="B122" s="37" t="s">
        <v>386</v>
      </c>
      <c r="C122" s="38" t="s">
        <v>108</v>
      </c>
      <c r="D122" s="38">
        <v>20000</v>
      </c>
      <c r="E122" s="38">
        <v>19775</v>
      </c>
      <c r="F122" s="114" t="s">
        <v>387</v>
      </c>
      <c r="G122" s="2">
        <f t="shared" si="0"/>
        <v>9888</v>
      </c>
      <c r="H122" s="2"/>
      <c r="I122" s="2"/>
      <c r="J122" s="2"/>
      <c r="K122" s="2"/>
    </row>
    <row r="123" ht="28.5" customHeight="1" spans="1:11">
      <c r="A123" s="19">
        <v>137</v>
      </c>
      <c r="B123" s="37" t="s">
        <v>388</v>
      </c>
      <c r="C123" s="38" t="s">
        <v>108</v>
      </c>
      <c r="D123" s="38">
        <v>18000</v>
      </c>
      <c r="E123" s="38">
        <v>17775</v>
      </c>
      <c r="F123" s="114" t="s">
        <v>389</v>
      </c>
      <c r="G123" s="2">
        <f t="shared" si="0"/>
        <v>8888</v>
      </c>
      <c r="H123" s="2"/>
      <c r="I123" s="2"/>
      <c r="J123" s="2"/>
      <c r="K123" s="2"/>
    </row>
    <row r="124" ht="28.5" customHeight="1" spans="1:11">
      <c r="A124" s="19">
        <v>138</v>
      </c>
      <c r="B124" s="37" t="s">
        <v>390</v>
      </c>
      <c r="C124" s="38" t="s">
        <v>108</v>
      </c>
      <c r="D124" s="38">
        <v>29000</v>
      </c>
      <c r="E124" s="38">
        <v>28725</v>
      </c>
      <c r="F124" s="114" t="s">
        <v>391</v>
      </c>
      <c r="G124" s="2">
        <f t="shared" si="0"/>
        <v>14363</v>
      </c>
      <c r="H124" s="2"/>
      <c r="I124" s="2"/>
      <c r="J124" s="2"/>
      <c r="K124" s="2"/>
    </row>
    <row r="125" ht="28.5" customHeight="1" spans="1:11">
      <c r="A125" s="19">
        <v>139</v>
      </c>
      <c r="B125" s="37" t="s">
        <v>392</v>
      </c>
      <c r="C125" s="38" t="s">
        <v>108</v>
      </c>
      <c r="D125" s="38">
        <v>18000</v>
      </c>
      <c r="E125" s="38">
        <v>17775</v>
      </c>
      <c r="F125" s="114" t="s">
        <v>393</v>
      </c>
      <c r="G125" s="2">
        <f t="shared" si="0"/>
        <v>8888</v>
      </c>
      <c r="H125" s="2"/>
      <c r="I125" s="2"/>
      <c r="J125" s="2"/>
      <c r="K125" s="2"/>
    </row>
    <row r="126" ht="28.5" customHeight="1" spans="1:11">
      <c r="A126" s="19">
        <v>140</v>
      </c>
      <c r="B126" s="37" t="s">
        <v>394</v>
      </c>
      <c r="C126" s="38" t="s">
        <v>108</v>
      </c>
      <c r="D126" s="38">
        <v>18000</v>
      </c>
      <c r="E126" s="38">
        <v>17775</v>
      </c>
      <c r="F126" s="114" t="s">
        <v>395</v>
      </c>
      <c r="G126" s="2">
        <f t="shared" si="0"/>
        <v>8888</v>
      </c>
      <c r="H126" s="2"/>
      <c r="I126" s="2"/>
      <c r="J126" s="2"/>
      <c r="K126" s="2"/>
    </row>
    <row r="127" ht="28.5" customHeight="1" spans="1:11">
      <c r="A127" s="19">
        <v>141</v>
      </c>
      <c r="B127" s="37" t="s">
        <v>396</v>
      </c>
      <c r="C127" s="38" t="s">
        <v>108</v>
      </c>
      <c r="D127" s="38">
        <v>26000</v>
      </c>
      <c r="E127" s="38">
        <v>25725</v>
      </c>
      <c r="F127" s="114" t="s">
        <v>397</v>
      </c>
      <c r="G127" s="2">
        <f t="shared" si="0"/>
        <v>12863</v>
      </c>
      <c r="H127" s="2"/>
      <c r="I127" s="2"/>
      <c r="J127" s="2"/>
      <c r="K127" s="2"/>
    </row>
    <row r="128" ht="28.5" customHeight="1" spans="1:11">
      <c r="A128" s="19">
        <v>143</v>
      </c>
      <c r="B128" s="37" t="s">
        <v>400</v>
      </c>
      <c r="C128" s="38" t="s">
        <v>108</v>
      </c>
      <c r="D128" s="38">
        <v>21000</v>
      </c>
      <c r="E128" s="38">
        <v>20725</v>
      </c>
      <c r="F128" s="114" t="s">
        <v>401</v>
      </c>
      <c r="G128" s="2">
        <f t="shared" si="0"/>
        <v>10363</v>
      </c>
      <c r="H128" s="2"/>
      <c r="I128" s="2"/>
      <c r="J128" s="2"/>
      <c r="K128" s="2"/>
    </row>
    <row r="129" ht="28.5" customHeight="1" spans="1:11">
      <c r="A129" s="19">
        <v>146</v>
      </c>
      <c r="B129" s="37" t="s">
        <v>406</v>
      </c>
      <c r="C129" s="38" t="s">
        <v>266</v>
      </c>
      <c r="D129" s="19">
        <v>52000</v>
      </c>
      <c r="E129" s="38">
        <v>51725</v>
      </c>
      <c r="F129" s="114" t="s">
        <v>407</v>
      </c>
      <c r="G129" s="2">
        <f t="shared" si="0"/>
        <v>25863</v>
      </c>
      <c r="H129" s="2"/>
      <c r="I129" s="2"/>
      <c r="J129" s="2"/>
      <c r="K129" s="2"/>
    </row>
    <row r="130" ht="28.5" customHeight="1" spans="1:11">
      <c r="A130" s="19">
        <v>147</v>
      </c>
      <c r="B130" s="37" t="s">
        <v>408</v>
      </c>
      <c r="C130" s="38" t="s">
        <v>266</v>
      </c>
      <c r="D130" s="19">
        <v>52000</v>
      </c>
      <c r="E130" s="38">
        <v>51725</v>
      </c>
      <c r="F130" s="114" t="s">
        <v>409</v>
      </c>
      <c r="G130" s="2">
        <f t="shared" si="0"/>
        <v>25863</v>
      </c>
      <c r="H130" s="2"/>
      <c r="I130" s="2"/>
      <c r="J130" s="2"/>
      <c r="K130" s="2"/>
    </row>
    <row r="131" ht="28.5" customHeight="1" spans="1:11">
      <c r="A131" s="19">
        <v>148</v>
      </c>
      <c r="B131" s="37" t="s">
        <v>410</v>
      </c>
      <c r="C131" s="38" t="s">
        <v>211</v>
      </c>
      <c r="D131" s="19">
        <v>18000</v>
      </c>
      <c r="E131" s="38">
        <v>17775</v>
      </c>
      <c r="F131" s="114" t="s">
        <v>411</v>
      </c>
      <c r="G131" s="2">
        <f t="shared" si="0"/>
        <v>8888</v>
      </c>
      <c r="H131" s="2"/>
      <c r="I131" s="2"/>
      <c r="J131" s="2"/>
      <c r="K131" s="2"/>
    </row>
    <row r="132" ht="28.5" customHeight="1" spans="1:11">
      <c r="A132" s="19">
        <v>149</v>
      </c>
      <c r="B132" s="37" t="s">
        <v>412</v>
      </c>
      <c r="C132" s="38" t="s">
        <v>211</v>
      </c>
      <c r="D132" s="19">
        <v>18000</v>
      </c>
      <c r="E132" s="38">
        <v>17775</v>
      </c>
      <c r="F132" s="114" t="s">
        <v>413</v>
      </c>
      <c r="G132" s="2">
        <f t="shared" si="0"/>
        <v>8888</v>
      </c>
      <c r="H132" s="2"/>
      <c r="I132" s="2"/>
      <c r="J132" s="2"/>
      <c r="K132" s="2"/>
    </row>
    <row r="133" ht="28.5" customHeight="1" spans="1:11">
      <c r="A133" s="19">
        <v>150</v>
      </c>
      <c r="B133" s="37" t="s">
        <v>414</v>
      </c>
      <c r="C133" s="38" t="s">
        <v>159</v>
      </c>
      <c r="D133" s="19">
        <v>30000</v>
      </c>
      <c r="E133" s="38">
        <v>29725</v>
      </c>
      <c r="F133" s="114" t="s">
        <v>415</v>
      </c>
      <c r="G133" s="2">
        <f t="shared" si="0"/>
        <v>14863</v>
      </c>
      <c r="H133" s="2"/>
      <c r="I133" s="2"/>
      <c r="J133" s="2"/>
      <c r="K133" s="2"/>
    </row>
    <row r="134" ht="28.5" customHeight="1" spans="1:11">
      <c r="A134" s="19">
        <v>151</v>
      </c>
      <c r="B134" s="37" t="s">
        <v>416</v>
      </c>
      <c r="C134" s="38" t="s">
        <v>108</v>
      </c>
      <c r="D134" s="19">
        <v>25000</v>
      </c>
      <c r="E134" s="38">
        <v>24725</v>
      </c>
      <c r="F134" s="114" t="s">
        <v>417</v>
      </c>
      <c r="G134" s="2">
        <f t="shared" si="0"/>
        <v>12363</v>
      </c>
      <c r="H134" s="2"/>
      <c r="I134" s="2"/>
      <c r="J134" s="2"/>
      <c r="K134" s="2"/>
    </row>
    <row r="135" ht="28.5" customHeight="1" spans="1:11">
      <c r="A135" s="19">
        <v>152</v>
      </c>
      <c r="B135" s="37" t="s">
        <v>418</v>
      </c>
      <c r="C135" s="38" t="s">
        <v>419</v>
      </c>
      <c r="D135" s="19">
        <v>30780</v>
      </c>
      <c r="E135" s="38">
        <v>30780</v>
      </c>
      <c r="F135" s="111" t="s">
        <v>420</v>
      </c>
      <c r="G135" s="2">
        <f t="shared" si="0"/>
        <v>15390</v>
      </c>
      <c r="H135" s="2"/>
      <c r="I135" s="2"/>
      <c r="J135" s="2"/>
      <c r="K135" s="2"/>
    </row>
    <row r="136" ht="28.5" customHeight="1" spans="1:11">
      <c r="A136" s="16"/>
      <c r="B136" s="17" t="s">
        <v>9</v>
      </c>
      <c r="C136" s="18"/>
      <c r="D136" s="18">
        <f t="shared" ref="D136:E136" si="1">SUM(D5:D135)</f>
        <v>5417060</v>
      </c>
      <c r="E136" s="18">
        <f t="shared" si="1"/>
        <v>5178042</v>
      </c>
      <c r="F136" s="18"/>
      <c r="G136" s="6">
        <f>SUM(G6:G135)</f>
        <v>2589073</v>
      </c>
      <c r="H136" s="6"/>
      <c r="I136" s="6"/>
      <c r="J136" s="6"/>
      <c r="K136" s="6"/>
    </row>
    <row r="137" ht="28.5" customHeight="1" spans="1:11">
      <c r="A137" s="19"/>
      <c r="B137" s="20"/>
      <c r="C137" s="20"/>
      <c r="D137" s="21"/>
      <c r="E137" s="19"/>
      <c r="F137" s="22"/>
      <c r="G137" s="2"/>
      <c r="H137" s="2"/>
      <c r="I137" s="2"/>
      <c r="J137" s="2"/>
      <c r="K137" s="2"/>
    </row>
    <row r="138" ht="28.5" customHeight="1" spans="1:11">
      <c r="A138" s="19"/>
      <c r="B138" s="36"/>
      <c r="C138" s="36"/>
      <c r="D138" s="16"/>
      <c r="E138" s="36"/>
      <c r="F138" s="36"/>
      <c r="G138" s="2"/>
      <c r="H138" s="2"/>
      <c r="I138" s="2"/>
      <c r="J138" s="2"/>
      <c r="K138" s="2"/>
    </row>
    <row r="139" ht="28.5" customHeight="1" spans="1:11">
      <c r="A139" s="19"/>
      <c r="B139" s="17"/>
      <c r="C139" s="18"/>
      <c r="D139" s="16"/>
      <c r="E139" s="19"/>
      <c r="F139" s="22"/>
      <c r="G139" s="2"/>
      <c r="H139" s="2"/>
      <c r="I139" s="2"/>
      <c r="J139" s="2"/>
      <c r="K139" s="2"/>
    </row>
    <row r="140" ht="28.5" customHeight="1" spans="1:11">
      <c r="A140" s="19"/>
      <c r="B140" s="17"/>
      <c r="C140" s="18"/>
      <c r="D140" s="16"/>
      <c r="E140" s="19"/>
      <c r="F140" s="22"/>
      <c r="G140" s="2"/>
      <c r="H140" s="2"/>
      <c r="I140" s="2"/>
      <c r="J140" s="2"/>
      <c r="K140" s="2"/>
    </row>
    <row r="141" ht="28.5" hidden="1" customHeight="1" spans="1:11">
      <c r="A141" s="28" t="s">
        <v>96</v>
      </c>
      <c r="G141" s="2"/>
      <c r="H141" s="2"/>
      <c r="I141" s="2"/>
      <c r="J141" s="2"/>
      <c r="K141" s="2"/>
    </row>
    <row r="142" ht="28.5" hidden="1" customHeight="1" spans="1:11">
      <c r="A142" s="28" t="s">
        <v>421</v>
      </c>
      <c r="G142" s="2"/>
      <c r="H142" s="2"/>
      <c r="I142" s="2"/>
      <c r="J142" s="2"/>
      <c r="K142" s="2"/>
    </row>
    <row r="143" ht="41.25" hidden="1" customHeight="1" spans="1:11">
      <c r="A143" s="18" t="s">
        <v>98</v>
      </c>
      <c r="B143" s="17" t="s">
        <v>3</v>
      </c>
      <c r="C143" s="18" t="s">
        <v>4</v>
      </c>
      <c r="D143" s="18" t="s">
        <v>5</v>
      </c>
      <c r="E143" s="18" t="s">
        <v>27</v>
      </c>
      <c r="F143" s="5" t="s">
        <v>28</v>
      </c>
      <c r="G143" s="2"/>
      <c r="H143" s="2"/>
      <c r="I143" s="2"/>
      <c r="J143" s="2"/>
      <c r="K143" s="2"/>
    </row>
    <row r="144" ht="28.5" customHeight="1" spans="1:11">
      <c r="A144" s="28"/>
      <c r="B144" s="29"/>
      <c r="C144" s="30"/>
      <c r="D144" s="28"/>
      <c r="E144" s="28"/>
      <c r="F144" s="31"/>
      <c r="G144" s="2"/>
      <c r="H144" s="2"/>
      <c r="I144" s="2"/>
      <c r="J144" s="2"/>
      <c r="K144" s="2"/>
    </row>
  </sheetData>
  <autoFilter xmlns:etc="http://www.wps.cn/officeDocument/2017/etCustomData" ref="A1:F136" etc:filterBottomFollowUsedRange="0">
    <extLst/>
  </autoFilter>
  <mergeCells count="4">
    <mergeCell ref="A1:F1"/>
    <mergeCell ref="A2:F2"/>
    <mergeCell ref="A141:F141"/>
    <mergeCell ref="A142:F142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42727272727273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96</v>
      </c>
      <c r="G1" s="2"/>
      <c r="H1" s="2"/>
      <c r="I1" s="2"/>
      <c r="J1" s="2"/>
      <c r="K1" s="2"/>
    </row>
    <row r="2" ht="22.5" customHeight="1" spans="1:11">
      <c r="A2" s="1" t="s">
        <v>97</v>
      </c>
      <c r="G2" s="2"/>
      <c r="H2" s="2"/>
      <c r="I2" s="2"/>
      <c r="J2" s="2"/>
      <c r="K2" s="2"/>
    </row>
    <row r="3" ht="28.5" customHeight="1" spans="1:11">
      <c r="A3" s="3" t="s">
        <v>98</v>
      </c>
      <c r="B3" s="4" t="s">
        <v>3</v>
      </c>
      <c r="C3" s="3" t="s">
        <v>4</v>
      </c>
      <c r="D3" s="3" t="s">
        <v>5</v>
      </c>
      <c r="E3" s="3" t="s">
        <v>27</v>
      </c>
      <c r="F3" s="5" t="s">
        <v>28</v>
      </c>
      <c r="G3" s="2"/>
      <c r="H3" s="2"/>
      <c r="I3" s="2"/>
      <c r="J3" s="2"/>
      <c r="K3" s="2"/>
    </row>
    <row r="4" ht="21.75" customHeight="1" spans="1:11">
      <c r="A4" s="6"/>
      <c r="B4" s="4" t="s">
        <v>99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23">
        <v>9</v>
      </c>
      <c r="B5" s="24" t="s">
        <v>118</v>
      </c>
      <c r="C5" s="25" t="s">
        <v>108</v>
      </c>
      <c r="D5" s="25">
        <v>40000</v>
      </c>
      <c r="E5" s="25">
        <v>39725</v>
      </c>
      <c r="F5" s="112" t="s">
        <v>119</v>
      </c>
      <c r="G5" s="27">
        <f>ROUND(E5/2,0)</f>
        <v>19863</v>
      </c>
      <c r="H5" s="27"/>
      <c r="I5" s="27"/>
      <c r="J5" s="27"/>
      <c r="K5" s="27"/>
    </row>
    <row r="6" ht="28.5" customHeight="1" spans="1:11">
      <c r="A6" s="2"/>
      <c r="B6" s="32"/>
      <c r="C6" s="33"/>
      <c r="D6" s="2"/>
      <c r="E6" s="2"/>
      <c r="F6" s="22"/>
      <c r="G6" s="2"/>
      <c r="H6" s="2"/>
      <c r="I6" s="2"/>
      <c r="J6" s="2"/>
      <c r="K6" s="2"/>
    </row>
    <row r="7" ht="28.5" customHeight="1" spans="1:11">
      <c r="A7" s="23">
        <v>23</v>
      </c>
      <c r="B7" s="34" t="s">
        <v>146</v>
      </c>
      <c r="C7" s="25" t="s">
        <v>108</v>
      </c>
      <c r="D7" s="23">
        <v>18000</v>
      </c>
      <c r="E7" s="25">
        <v>17775</v>
      </c>
      <c r="F7" s="116" t="s">
        <v>147</v>
      </c>
      <c r="G7" s="27">
        <f t="shared" ref="G7:G15" si="0">ROUND(E7/2,0)</f>
        <v>8888</v>
      </c>
      <c r="H7" s="27"/>
      <c r="I7" s="27"/>
      <c r="J7" s="27"/>
      <c r="K7" s="27"/>
    </row>
    <row r="8" ht="28.5" customHeight="1" spans="1:11">
      <c r="A8" s="23">
        <v>47</v>
      </c>
      <c r="B8" s="35" t="s">
        <v>199</v>
      </c>
      <c r="C8" s="25" t="s">
        <v>103</v>
      </c>
      <c r="D8" s="23">
        <v>75000</v>
      </c>
      <c r="E8" s="25">
        <v>74725</v>
      </c>
      <c r="F8" s="23"/>
      <c r="G8" s="27">
        <f t="shared" si="0"/>
        <v>37363</v>
      </c>
      <c r="H8" s="27"/>
      <c r="I8" s="27"/>
      <c r="J8" s="27"/>
      <c r="K8" s="27"/>
    </row>
    <row r="9" ht="28.5" customHeight="1" spans="1:11">
      <c r="A9" s="23">
        <v>75</v>
      </c>
      <c r="B9" s="34" t="s">
        <v>255</v>
      </c>
      <c r="C9" s="25" t="s">
        <v>108</v>
      </c>
      <c r="D9" s="23">
        <v>24000</v>
      </c>
      <c r="E9" s="25">
        <v>23725</v>
      </c>
      <c r="F9" s="116" t="s">
        <v>256</v>
      </c>
      <c r="G9" s="27">
        <f t="shared" si="0"/>
        <v>11863</v>
      </c>
      <c r="H9" s="27"/>
      <c r="I9" s="27"/>
      <c r="J9" s="27"/>
      <c r="K9" s="27"/>
    </row>
    <row r="10" ht="28.5" customHeight="1" spans="1:11">
      <c r="A10" s="23">
        <v>87</v>
      </c>
      <c r="B10" s="34" t="s">
        <v>280</v>
      </c>
      <c r="C10" s="25" t="s">
        <v>164</v>
      </c>
      <c r="D10" s="23">
        <v>50000</v>
      </c>
      <c r="E10" s="25">
        <v>49725</v>
      </c>
      <c r="F10" s="116" t="s">
        <v>281</v>
      </c>
      <c r="G10" s="27">
        <f t="shared" si="0"/>
        <v>24863</v>
      </c>
      <c r="H10" s="27"/>
      <c r="I10" s="27"/>
      <c r="J10" s="27"/>
      <c r="K10" s="27"/>
    </row>
    <row r="11" ht="28.5" customHeight="1" spans="1:11">
      <c r="A11" s="23">
        <v>98</v>
      </c>
      <c r="B11" s="34" t="s">
        <v>303</v>
      </c>
      <c r="C11" s="25" t="s">
        <v>108</v>
      </c>
      <c r="D11" s="23">
        <v>23000</v>
      </c>
      <c r="E11" s="25">
        <v>22770</v>
      </c>
      <c r="F11" s="116" t="s">
        <v>304</v>
      </c>
      <c r="G11" s="27">
        <f t="shared" si="0"/>
        <v>11385</v>
      </c>
      <c r="H11" s="27"/>
      <c r="I11" s="27"/>
      <c r="J11" s="27"/>
      <c r="K11" s="27"/>
    </row>
    <row r="12" ht="28.5" customHeight="1" spans="1:11">
      <c r="A12" s="23">
        <v>99</v>
      </c>
      <c r="B12" s="34" t="s">
        <v>305</v>
      </c>
      <c r="C12" s="25" t="s">
        <v>108</v>
      </c>
      <c r="D12" s="23">
        <v>37000</v>
      </c>
      <c r="E12" s="25">
        <v>36725</v>
      </c>
      <c r="F12" s="116" t="s">
        <v>306</v>
      </c>
      <c r="G12" s="27">
        <f t="shared" si="0"/>
        <v>18363</v>
      </c>
      <c r="H12" s="27"/>
      <c r="I12" s="27"/>
      <c r="J12" s="27"/>
      <c r="K12" s="27"/>
    </row>
    <row r="13" ht="28.5" customHeight="1" spans="1:11">
      <c r="A13" s="23">
        <v>142</v>
      </c>
      <c r="B13" s="34" t="s">
        <v>398</v>
      </c>
      <c r="C13" s="25" t="s">
        <v>108</v>
      </c>
      <c r="D13" s="25">
        <v>18000</v>
      </c>
      <c r="E13" s="25">
        <v>17775</v>
      </c>
      <c r="F13" s="116" t="s">
        <v>399</v>
      </c>
      <c r="G13" s="27">
        <f t="shared" si="0"/>
        <v>8888</v>
      </c>
      <c r="H13" s="27"/>
      <c r="I13" s="27"/>
      <c r="J13" s="27"/>
      <c r="K13" s="27"/>
    </row>
    <row r="14" ht="28.5" customHeight="1" spans="1:11">
      <c r="A14" s="23">
        <v>144</v>
      </c>
      <c r="B14" s="34" t="s">
        <v>402</v>
      </c>
      <c r="C14" s="25" t="s">
        <v>108</v>
      </c>
      <c r="D14" s="25">
        <v>20000</v>
      </c>
      <c r="E14" s="25">
        <v>19775</v>
      </c>
      <c r="F14" s="116" t="s">
        <v>403</v>
      </c>
      <c r="G14" s="27">
        <f t="shared" si="0"/>
        <v>9888</v>
      </c>
      <c r="H14" s="27"/>
      <c r="I14" s="27"/>
      <c r="J14" s="27"/>
      <c r="K14" s="27"/>
    </row>
    <row r="15" ht="28.5" customHeight="1" spans="1:11">
      <c r="A15" s="23">
        <v>145</v>
      </c>
      <c r="B15" s="34" t="s">
        <v>404</v>
      </c>
      <c r="C15" s="25" t="s">
        <v>108</v>
      </c>
      <c r="D15" s="25">
        <v>25000</v>
      </c>
      <c r="E15" s="25">
        <v>24725</v>
      </c>
      <c r="F15" s="116" t="s">
        <v>405</v>
      </c>
      <c r="G15" s="27">
        <f t="shared" si="0"/>
        <v>12363</v>
      </c>
      <c r="H15" s="27"/>
      <c r="I15" s="27"/>
      <c r="J15" s="27"/>
      <c r="K15" s="27"/>
    </row>
    <row r="16" ht="28.5" customHeight="1" spans="1:11">
      <c r="A16" s="16"/>
      <c r="B16" s="17" t="s">
        <v>9</v>
      </c>
      <c r="C16" s="18"/>
      <c r="D16" s="18">
        <f t="shared" ref="D16:E16" si="1">SUM(D5:D15)</f>
        <v>330000</v>
      </c>
      <c r="E16" s="18">
        <f t="shared" si="1"/>
        <v>327445</v>
      </c>
      <c r="F16" s="18"/>
      <c r="G16" s="6">
        <f>SUM(G5:G15)</f>
        <v>163727</v>
      </c>
      <c r="H16" s="6"/>
      <c r="I16" s="6"/>
      <c r="J16" s="6"/>
      <c r="K16" s="6"/>
    </row>
    <row r="17" ht="28.5" customHeight="1" spans="1:11">
      <c r="A17" s="19"/>
      <c r="B17" s="20"/>
      <c r="C17" s="20"/>
      <c r="D17" s="21"/>
      <c r="E17" s="19"/>
      <c r="F17" s="22"/>
      <c r="G17" s="2"/>
      <c r="H17" s="2"/>
      <c r="I17" s="2"/>
      <c r="J17" s="2"/>
      <c r="K17" s="2"/>
    </row>
    <row r="18" ht="28.5" customHeight="1" spans="1:11">
      <c r="A18" s="19"/>
      <c r="B18" s="36"/>
      <c r="C18" s="36"/>
      <c r="D18" s="16"/>
      <c r="E18" s="36"/>
      <c r="F18" s="36"/>
      <c r="G18" s="2"/>
      <c r="H18" s="2"/>
      <c r="I18" s="2"/>
      <c r="J18" s="2"/>
      <c r="K18" s="2"/>
    </row>
    <row r="19" ht="28.5" customHeight="1" spans="1:11">
      <c r="A19" s="19"/>
      <c r="B19" s="17"/>
      <c r="C19" s="18"/>
      <c r="D19" s="16"/>
      <c r="E19" s="19"/>
      <c r="F19" s="22"/>
      <c r="G19" s="2"/>
      <c r="H19" s="2"/>
      <c r="I19" s="2"/>
      <c r="J19" s="2"/>
      <c r="K19" s="2"/>
    </row>
    <row r="20" ht="28.5" customHeight="1" spans="1:11">
      <c r="A20" s="19"/>
      <c r="B20" s="17"/>
      <c r="C20" s="18"/>
      <c r="D20" s="16"/>
      <c r="E20" s="19"/>
      <c r="F20" s="22"/>
      <c r="G20" s="2"/>
      <c r="H20" s="2"/>
      <c r="I20" s="2"/>
      <c r="J20" s="2">
        <f>+G16+'Teaching (5)'!G136</f>
        <v>2752800</v>
      </c>
      <c r="K20" s="2"/>
    </row>
    <row r="21" ht="28.5" hidden="1" customHeight="1" spans="1:11">
      <c r="A21" s="28" t="s">
        <v>96</v>
      </c>
      <c r="G21" s="2"/>
      <c r="H21" s="2"/>
      <c r="I21" s="2"/>
      <c r="J21" s="2"/>
      <c r="K21" s="2"/>
    </row>
    <row r="22" ht="28.5" hidden="1" customHeight="1" spans="1:11">
      <c r="A22" s="28" t="s">
        <v>421</v>
      </c>
      <c r="G22" s="2"/>
      <c r="H22" s="2"/>
      <c r="I22" s="2"/>
      <c r="J22" s="2"/>
      <c r="K22" s="2"/>
    </row>
    <row r="23" ht="41.25" hidden="1" customHeight="1" spans="1:11">
      <c r="A23" s="18" t="s">
        <v>98</v>
      </c>
      <c r="B23" s="17" t="s">
        <v>3</v>
      </c>
      <c r="C23" s="18" t="s">
        <v>4</v>
      </c>
      <c r="D23" s="18" t="s">
        <v>5</v>
      </c>
      <c r="E23" s="18" t="s">
        <v>27</v>
      </c>
      <c r="F23" s="5" t="s">
        <v>28</v>
      </c>
      <c r="G23" s="2"/>
      <c r="H23" s="2"/>
      <c r="I23" s="2"/>
      <c r="J23" s="2"/>
      <c r="K23" s="2"/>
    </row>
    <row r="24" ht="28.5" customHeight="1" spans="1:11">
      <c r="A24" s="28"/>
      <c r="B24" s="29"/>
      <c r="C24" s="30"/>
      <c r="D24" s="28"/>
      <c r="E24" s="28"/>
      <c r="F24" s="31"/>
      <c r="G24" s="2"/>
      <c r="H24" s="2"/>
      <c r="I24" s="2"/>
      <c r="J24" s="2"/>
      <c r="K24" s="2"/>
    </row>
    <row r="25" ht="28.5" customHeight="1" spans="1:11">
      <c r="A25" s="2"/>
      <c r="B25" s="32"/>
      <c r="C25" s="33"/>
      <c r="D25" s="2"/>
      <c r="E25" s="2"/>
      <c r="F25" s="22"/>
      <c r="G25" s="2"/>
      <c r="H25" s="2"/>
      <c r="I25" s="2"/>
      <c r="J25" s="2"/>
      <c r="K25" s="2"/>
    </row>
    <row r="26" ht="28.5" customHeight="1" spans="1:11">
      <c r="A26" s="2"/>
      <c r="B26" s="32"/>
      <c r="C26" s="33"/>
      <c r="D26" s="2"/>
      <c r="E26" s="2"/>
      <c r="F26" s="22"/>
      <c r="G26" s="2"/>
      <c r="H26" s="2"/>
      <c r="I26" s="2"/>
      <c r="J26" s="2"/>
      <c r="K26" s="2"/>
    </row>
    <row r="27" ht="28.5" customHeight="1" spans="1:11">
      <c r="A27" s="2"/>
      <c r="B27" s="32"/>
      <c r="C27" s="33"/>
      <c r="D27" s="2"/>
      <c r="E27" s="2"/>
      <c r="F27" s="22"/>
      <c r="G27" s="2"/>
      <c r="H27" s="2"/>
      <c r="I27" s="2"/>
      <c r="J27" s="2"/>
      <c r="K27" s="2"/>
    </row>
    <row r="28" ht="28.5" customHeight="1" spans="1:11">
      <c r="A28" s="2"/>
      <c r="B28" s="32"/>
      <c r="C28" s="33"/>
      <c r="D28" s="2"/>
      <c r="E28" s="2"/>
      <c r="F28" s="22"/>
      <c r="G28" s="2"/>
      <c r="H28" s="2"/>
      <c r="I28" s="2"/>
      <c r="J28" s="2"/>
      <c r="K28" s="2"/>
    </row>
    <row r="29" ht="28.5" customHeight="1" spans="1:11">
      <c r="A29" s="2"/>
      <c r="B29" s="32"/>
      <c r="C29" s="33"/>
      <c r="D29" s="2"/>
      <c r="E29" s="2"/>
      <c r="F29" s="22"/>
      <c r="G29" s="2"/>
      <c r="H29" s="2"/>
      <c r="I29" s="2"/>
      <c r="J29" s="2"/>
      <c r="K29" s="2"/>
    </row>
    <row r="30" ht="28.5" customHeight="1" spans="1:11">
      <c r="A30" s="2"/>
      <c r="B30" s="32"/>
      <c r="C30" s="33"/>
      <c r="D30" s="2"/>
      <c r="E30" s="2"/>
      <c r="F30" s="22"/>
      <c r="G30" s="2"/>
      <c r="H30" s="2"/>
      <c r="I30" s="2"/>
      <c r="J30" s="2"/>
      <c r="K30" s="2"/>
    </row>
    <row r="31" ht="28.5" customHeight="1" spans="1:11">
      <c r="A31" s="2"/>
      <c r="B31" s="32"/>
      <c r="C31" s="33"/>
      <c r="D31" s="2"/>
      <c r="E31" s="2"/>
      <c r="F31" s="22"/>
      <c r="G31" s="2"/>
      <c r="H31" s="2"/>
      <c r="I31" s="2"/>
      <c r="J31" s="2"/>
      <c r="K31" s="2"/>
    </row>
    <row r="32" ht="28.5" customHeight="1" spans="1:11">
      <c r="A32" s="2"/>
      <c r="B32" s="32"/>
      <c r="C32" s="33"/>
      <c r="D32" s="2"/>
      <c r="E32" s="2"/>
      <c r="F32" s="22"/>
      <c r="G32" s="2"/>
      <c r="H32" s="2"/>
      <c r="I32" s="2"/>
      <c r="J32" s="2"/>
      <c r="K32" s="2"/>
    </row>
    <row r="33" ht="28.5" customHeight="1" spans="1:11">
      <c r="A33" s="2"/>
      <c r="B33" s="32"/>
      <c r="C33" s="33"/>
      <c r="D33" s="2"/>
      <c r="E33" s="2"/>
      <c r="F33" s="22"/>
      <c r="G33" s="2"/>
      <c r="H33" s="2"/>
      <c r="I33" s="2"/>
      <c r="J33" s="2"/>
      <c r="K33" s="2"/>
    </row>
    <row r="34" ht="28.5" customHeight="1" spans="1:11">
      <c r="A34" s="2"/>
      <c r="B34" s="32"/>
      <c r="C34" s="33"/>
      <c r="D34" s="2"/>
      <c r="E34" s="2"/>
      <c r="F34" s="22"/>
      <c r="G34" s="2"/>
      <c r="H34" s="2"/>
      <c r="I34" s="2"/>
      <c r="J34" s="2"/>
      <c r="K34" s="2"/>
    </row>
    <row r="35" ht="28.5" customHeight="1" spans="1:11">
      <c r="A35" s="2"/>
      <c r="B35" s="32"/>
      <c r="C35" s="33"/>
      <c r="D35" s="2"/>
      <c r="E35" s="2"/>
      <c r="F35" s="22"/>
      <c r="G35" s="2"/>
      <c r="H35" s="2"/>
      <c r="I35" s="2"/>
      <c r="J35" s="2"/>
      <c r="K35" s="2"/>
    </row>
    <row r="36" ht="28.5" customHeight="1" spans="1:11">
      <c r="A36" s="2"/>
      <c r="B36" s="32"/>
      <c r="C36" s="33"/>
      <c r="D36" s="2"/>
      <c r="E36" s="2"/>
      <c r="F36" s="22"/>
      <c r="G36" s="2"/>
      <c r="H36" s="2"/>
      <c r="I36" s="2"/>
      <c r="J36" s="2"/>
      <c r="K36" s="2"/>
    </row>
    <row r="37" ht="28.5" customHeight="1" spans="1:11">
      <c r="A37" s="2"/>
      <c r="B37" s="32"/>
      <c r="C37" s="33"/>
      <c r="D37" s="2"/>
      <c r="E37" s="2"/>
      <c r="F37" s="22"/>
      <c r="G37" s="2"/>
      <c r="H37" s="2"/>
      <c r="I37" s="2"/>
      <c r="J37" s="2"/>
      <c r="K37" s="2"/>
    </row>
    <row r="38" ht="28.5" customHeight="1" spans="1:11">
      <c r="A38" s="2"/>
      <c r="B38" s="32"/>
      <c r="C38" s="33"/>
      <c r="D38" s="2"/>
      <c r="E38" s="2"/>
      <c r="F38" s="22"/>
      <c r="G38" s="2"/>
      <c r="H38" s="2"/>
      <c r="I38" s="2"/>
      <c r="J38" s="2"/>
      <c r="K38" s="2"/>
    </row>
    <row r="39" ht="28.5" customHeight="1" spans="1:11">
      <c r="A39" s="2"/>
      <c r="B39" s="32"/>
      <c r="C39" s="33"/>
      <c r="D39" s="2"/>
      <c r="E39" s="2"/>
      <c r="F39" s="22"/>
      <c r="G39" s="2"/>
      <c r="H39" s="2"/>
      <c r="I39" s="2"/>
      <c r="J39" s="2"/>
      <c r="K39" s="2"/>
    </row>
    <row r="40" ht="28.5" customHeight="1" spans="1:11">
      <c r="A40" s="2"/>
      <c r="B40" s="32"/>
      <c r="C40" s="33"/>
      <c r="D40" s="2"/>
      <c r="E40" s="2"/>
      <c r="F40" s="22"/>
      <c r="G40" s="2"/>
      <c r="H40" s="2"/>
      <c r="I40" s="2"/>
      <c r="J40" s="2"/>
      <c r="K40" s="2"/>
    </row>
    <row r="41" ht="28.5" customHeight="1" spans="1:11">
      <c r="A41" s="2"/>
      <c r="B41" s="32"/>
      <c r="C41" s="33"/>
      <c r="D41" s="2"/>
      <c r="E41" s="2"/>
      <c r="F41" s="22"/>
      <c r="G41" s="2"/>
      <c r="H41" s="2"/>
      <c r="I41" s="2"/>
      <c r="J41" s="2"/>
      <c r="K41" s="2"/>
    </row>
    <row r="42" ht="28.5" customHeight="1" spans="1:11">
      <c r="A42" s="2"/>
      <c r="B42" s="32"/>
      <c r="C42" s="33"/>
      <c r="D42" s="2"/>
      <c r="E42" s="2"/>
      <c r="F42" s="22"/>
      <c r="G42" s="2"/>
      <c r="H42" s="2"/>
      <c r="I42" s="2"/>
      <c r="J42" s="2"/>
      <c r="K42" s="2"/>
    </row>
    <row r="43" ht="28.5" customHeight="1" spans="1:11">
      <c r="A43" s="2"/>
      <c r="B43" s="32"/>
      <c r="C43" s="33"/>
      <c r="D43" s="2"/>
      <c r="E43" s="2"/>
      <c r="F43" s="22"/>
      <c r="G43" s="2"/>
      <c r="H43" s="2"/>
      <c r="I43" s="2"/>
      <c r="J43" s="2"/>
      <c r="K43" s="2"/>
    </row>
    <row r="44" ht="28.5" customHeight="1" spans="1:11">
      <c r="A44" s="2"/>
      <c r="B44" s="32"/>
      <c r="C44" s="33"/>
      <c r="D44" s="2"/>
      <c r="E44" s="2"/>
      <c r="F44" s="22"/>
      <c r="G44" s="2"/>
      <c r="H44" s="2"/>
      <c r="I44" s="2"/>
      <c r="J44" s="2"/>
      <c r="K44" s="2"/>
    </row>
    <row r="45" ht="28.5" customHeight="1" spans="1:11">
      <c r="A45" s="2"/>
      <c r="B45" s="32"/>
      <c r="C45" s="33"/>
      <c r="D45" s="2"/>
      <c r="E45" s="2"/>
      <c r="F45" s="22"/>
      <c r="G45" s="2"/>
      <c r="H45" s="2"/>
      <c r="I45" s="2"/>
      <c r="J45" s="2"/>
      <c r="K45" s="2"/>
    </row>
    <row r="46" ht="28.5" customHeight="1" spans="1:11">
      <c r="A46" s="2"/>
      <c r="B46" s="32"/>
      <c r="C46" s="33"/>
      <c r="D46" s="2"/>
      <c r="E46" s="2"/>
      <c r="F46" s="22"/>
      <c r="G46" s="2"/>
      <c r="H46" s="2"/>
      <c r="I46" s="2"/>
      <c r="J46" s="2"/>
      <c r="K46" s="2"/>
    </row>
    <row r="47" ht="28.5" customHeight="1" spans="1:11">
      <c r="A47" s="2"/>
      <c r="B47" s="32"/>
      <c r="C47" s="33"/>
      <c r="D47" s="2"/>
      <c r="E47" s="2"/>
      <c r="F47" s="22"/>
      <c r="G47" s="2"/>
      <c r="H47" s="2"/>
      <c r="I47" s="2"/>
      <c r="J47" s="2"/>
      <c r="K47" s="2"/>
    </row>
    <row r="48" ht="28.5" customHeight="1" spans="1:11">
      <c r="A48" s="2"/>
      <c r="B48" s="32"/>
      <c r="C48" s="33"/>
      <c r="D48" s="2"/>
      <c r="E48" s="2"/>
      <c r="F48" s="22"/>
      <c r="G48" s="2"/>
      <c r="H48" s="2"/>
      <c r="I48" s="2"/>
      <c r="J48" s="2"/>
      <c r="K48" s="2"/>
    </row>
    <row r="49" ht="28.5" customHeight="1" spans="1:11">
      <c r="A49" s="2"/>
      <c r="B49" s="32"/>
      <c r="C49" s="33"/>
      <c r="D49" s="2"/>
      <c r="E49" s="2"/>
      <c r="F49" s="22"/>
      <c r="G49" s="2"/>
      <c r="H49" s="2"/>
      <c r="I49" s="2"/>
      <c r="J49" s="2"/>
      <c r="K49" s="2"/>
    </row>
    <row r="50" ht="28.5" customHeight="1" spans="1:11">
      <c r="A50" s="2"/>
      <c r="B50" s="32"/>
      <c r="C50" s="33"/>
      <c r="D50" s="2"/>
      <c r="E50" s="2"/>
      <c r="F50" s="22"/>
      <c r="G50" s="2"/>
      <c r="H50" s="2"/>
      <c r="I50" s="2"/>
      <c r="J50" s="2"/>
      <c r="K50" s="2"/>
    </row>
    <row r="51" ht="28.5" customHeight="1" spans="1:11">
      <c r="A51" s="2"/>
      <c r="B51" s="32"/>
      <c r="C51" s="33"/>
      <c r="D51" s="2"/>
      <c r="E51" s="2"/>
      <c r="F51" s="22"/>
      <c r="G51" s="2"/>
      <c r="H51" s="2"/>
      <c r="I51" s="2"/>
      <c r="J51" s="2"/>
      <c r="K51" s="2"/>
    </row>
    <row r="52" ht="28.5" customHeight="1" spans="1:11">
      <c r="A52" s="2"/>
      <c r="B52" s="32"/>
      <c r="C52" s="33"/>
      <c r="D52" s="2"/>
      <c r="E52" s="2"/>
      <c r="F52" s="22"/>
      <c r="G52" s="2"/>
      <c r="H52" s="2"/>
      <c r="I52" s="2"/>
      <c r="J52" s="2"/>
      <c r="K52" s="2"/>
    </row>
    <row r="53" ht="28.5" customHeight="1" spans="1:11">
      <c r="A53" s="2"/>
      <c r="B53" s="32"/>
      <c r="C53" s="33"/>
      <c r="D53" s="2"/>
      <c r="E53" s="2"/>
      <c r="F53" s="22"/>
      <c r="G53" s="2"/>
      <c r="H53" s="2"/>
      <c r="I53" s="2"/>
      <c r="J53" s="2"/>
      <c r="K53" s="2"/>
    </row>
    <row r="54" ht="28.5" customHeight="1" spans="1:11">
      <c r="A54" s="2"/>
      <c r="B54" s="32"/>
      <c r="C54" s="33"/>
      <c r="D54" s="2"/>
      <c r="E54" s="2"/>
      <c r="F54" s="22"/>
      <c r="G54" s="2"/>
      <c r="H54" s="2"/>
      <c r="I54" s="2"/>
      <c r="J54" s="2"/>
      <c r="K54" s="2"/>
    </row>
    <row r="55" ht="28.5" customHeight="1" spans="1:11">
      <c r="A55" s="2"/>
      <c r="B55" s="32"/>
      <c r="C55" s="33"/>
      <c r="D55" s="2"/>
      <c r="E55" s="2"/>
      <c r="F55" s="22"/>
      <c r="G55" s="2"/>
      <c r="H55" s="2"/>
      <c r="I55" s="2"/>
      <c r="J55" s="2"/>
      <c r="K55" s="2"/>
    </row>
    <row r="56" ht="28.5" customHeight="1" spans="1:11">
      <c r="A56" s="2"/>
      <c r="B56" s="32"/>
      <c r="C56" s="33"/>
      <c r="D56" s="2"/>
      <c r="E56" s="2"/>
      <c r="F56" s="22"/>
      <c r="G56" s="2"/>
      <c r="H56" s="2"/>
      <c r="I56" s="2"/>
      <c r="J56" s="2"/>
      <c r="K56" s="2"/>
    </row>
    <row r="57" ht="28.5" customHeight="1" spans="1:11">
      <c r="A57" s="2"/>
      <c r="B57" s="32"/>
      <c r="C57" s="33"/>
      <c r="D57" s="2"/>
      <c r="E57" s="2"/>
      <c r="F57" s="22"/>
      <c r="G57" s="2"/>
      <c r="H57" s="2"/>
      <c r="I57" s="2"/>
      <c r="J57" s="2"/>
      <c r="K57" s="2"/>
    </row>
    <row r="58" ht="28.5" customHeight="1" spans="1:11">
      <c r="A58" s="2"/>
      <c r="B58" s="32"/>
      <c r="C58" s="33"/>
      <c r="D58" s="2"/>
      <c r="E58" s="2"/>
      <c r="F58" s="22"/>
      <c r="G58" s="2"/>
      <c r="H58" s="2"/>
      <c r="I58" s="2"/>
      <c r="J58" s="2"/>
      <c r="K58" s="2"/>
    </row>
    <row r="59" ht="28.5" customHeight="1" spans="1:11">
      <c r="A59" s="2"/>
      <c r="B59" s="32"/>
      <c r="C59" s="33"/>
      <c r="D59" s="2"/>
      <c r="E59" s="2"/>
      <c r="F59" s="22"/>
      <c r="G59" s="2"/>
      <c r="H59" s="2"/>
      <c r="I59" s="2"/>
      <c r="J59" s="2"/>
      <c r="K59" s="2"/>
    </row>
    <row r="60" ht="28.5" customHeight="1" spans="1:11">
      <c r="A60" s="2"/>
      <c r="B60" s="32"/>
      <c r="C60" s="33"/>
      <c r="D60" s="2"/>
      <c r="E60" s="2"/>
      <c r="F60" s="22"/>
      <c r="G60" s="2"/>
      <c r="H60" s="2"/>
      <c r="I60" s="2"/>
      <c r="J60" s="2"/>
      <c r="K60" s="2"/>
    </row>
    <row r="61" ht="28.5" customHeight="1" spans="1:11">
      <c r="A61" s="2"/>
      <c r="B61" s="32"/>
      <c r="C61" s="33"/>
      <c r="D61" s="2"/>
      <c r="E61" s="2"/>
      <c r="F61" s="22"/>
      <c r="G61" s="2"/>
      <c r="H61" s="2"/>
      <c r="I61" s="2"/>
      <c r="J61" s="2"/>
      <c r="K61" s="2"/>
    </row>
    <row r="62" ht="28.5" customHeight="1" spans="1:11">
      <c r="A62" s="2"/>
      <c r="B62" s="32"/>
      <c r="C62" s="33"/>
      <c r="D62" s="2"/>
      <c r="E62" s="2"/>
      <c r="F62" s="22"/>
      <c r="G62" s="2"/>
      <c r="H62" s="2"/>
      <c r="I62" s="2"/>
      <c r="J62" s="2"/>
      <c r="K62" s="2"/>
    </row>
    <row r="63" ht="28.5" customHeight="1" spans="1:11">
      <c r="A63" s="2"/>
      <c r="B63" s="32"/>
      <c r="C63" s="33"/>
      <c r="D63" s="2"/>
      <c r="E63" s="2"/>
      <c r="F63" s="22"/>
      <c r="G63" s="2"/>
      <c r="H63" s="2"/>
      <c r="I63" s="2"/>
      <c r="J63" s="2"/>
      <c r="K63" s="2"/>
    </row>
    <row r="64" ht="28.5" customHeight="1" spans="1:11">
      <c r="A64" s="2"/>
      <c r="B64" s="32"/>
      <c r="C64" s="33"/>
      <c r="D64" s="2"/>
      <c r="E64" s="2"/>
      <c r="F64" s="22"/>
      <c r="G64" s="2"/>
      <c r="H64" s="2"/>
      <c r="I64" s="2"/>
      <c r="J64" s="2"/>
      <c r="K64" s="2"/>
    </row>
    <row r="65" ht="28.5" customHeight="1" spans="1:11">
      <c r="A65" s="2"/>
      <c r="B65" s="32"/>
      <c r="C65" s="33"/>
      <c r="D65" s="2"/>
      <c r="E65" s="2"/>
      <c r="F65" s="22"/>
      <c r="G65" s="2"/>
      <c r="H65" s="2"/>
      <c r="I65" s="2"/>
      <c r="J65" s="2"/>
      <c r="K65" s="2"/>
    </row>
    <row r="66" ht="28.5" customHeight="1" spans="1:11">
      <c r="A66" s="2"/>
      <c r="B66" s="32"/>
      <c r="C66" s="33"/>
      <c r="D66" s="2"/>
      <c r="E66" s="2"/>
      <c r="F66" s="22"/>
      <c r="G66" s="2"/>
      <c r="H66" s="2"/>
      <c r="I66" s="2"/>
      <c r="J66" s="2"/>
      <c r="K66" s="2"/>
    </row>
    <row r="67" ht="28.5" customHeight="1" spans="1:11">
      <c r="A67" s="2"/>
      <c r="B67" s="32"/>
      <c r="C67" s="33"/>
      <c r="D67" s="2"/>
      <c r="E67" s="2"/>
      <c r="F67" s="22"/>
      <c r="G67" s="2"/>
      <c r="H67" s="2"/>
      <c r="I67" s="2"/>
      <c r="J67" s="2"/>
      <c r="K67" s="2"/>
    </row>
    <row r="68" ht="28.5" customHeight="1" spans="1:11">
      <c r="A68" s="2"/>
      <c r="B68" s="32"/>
      <c r="C68" s="33"/>
      <c r="D68" s="2"/>
      <c r="E68" s="2"/>
      <c r="F68" s="22"/>
      <c r="G68" s="2"/>
      <c r="H68" s="2"/>
      <c r="I68" s="2"/>
      <c r="J68" s="2"/>
      <c r="K68" s="2"/>
    </row>
    <row r="69" ht="28.5" customHeight="1" spans="1:11">
      <c r="A69" s="2"/>
      <c r="B69" s="32"/>
      <c r="C69" s="33"/>
      <c r="D69" s="2"/>
      <c r="E69" s="2"/>
      <c r="F69" s="22"/>
      <c r="G69" s="2"/>
      <c r="H69" s="2"/>
      <c r="I69" s="2"/>
      <c r="J69" s="2"/>
      <c r="K69" s="2"/>
    </row>
    <row r="70" ht="28.5" customHeight="1" spans="1:11">
      <c r="A70" s="2"/>
      <c r="B70" s="32"/>
      <c r="C70" s="33"/>
      <c r="D70" s="2"/>
      <c r="E70" s="2"/>
      <c r="F70" s="22"/>
      <c r="G70" s="2"/>
      <c r="H70" s="2"/>
      <c r="I70" s="2"/>
      <c r="J70" s="2"/>
      <c r="K70" s="2"/>
    </row>
    <row r="71" ht="28.5" customHeight="1" spans="1:11">
      <c r="A71" s="2"/>
      <c r="B71" s="32"/>
      <c r="C71" s="33"/>
      <c r="D71" s="2"/>
      <c r="E71" s="2"/>
      <c r="F71" s="22"/>
      <c r="G71" s="2"/>
      <c r="H71" s="2"/>
      <c r="I71" s="2"/>
      <c r="J71" s="2"/>
      <c r="K71" s="2"/>
    </row>
    <row r="72" ht="28.5" customHeight="1" spans="1:11">
      <c r="A72" s="2"/>
      <c r="B72" s="32"/>
      <c r="C72" s="33"/>
      <c r="D72" s="2"/>
      <c r="E72" s="2"/>
      <c r="F72" s="22"/>
      <c r="G72" s="2"/>
      <c r="H72" s="2"/>
      <c r="I72" s="2"/>
      <c r="J72" s="2"/>
      <c r="K72" s="2"/>
    </row>
    <row r="73" ht="28.5" customHeight="1" spans="1:11">
      <c r="A73" s="2"/>
      <c r="B73" s="32"/>
      <c r="C73" s="33"/>
      <c r="D73" s="2"/>
      <c r="E73" s="2"/>
      <c r="F73" s="22"/>
      <c r="G73" s="2"/>
      <c r="H73" s="2"/>
      <c r="I73" s="2"/>
      <c r="J73" s="2"/>
      <c r="K73" s="2"/>
    </row>
    <row r="74" ht="28.5" customHeight="1" spans="1:11">
      <c r="A74" s="2"/>
      <c r="B74" s="32"/>
      <c r="C74" s="33"/>
      <c r="D74" s="2"/>
      <c r="E74" s="2"/>
      <c r="F74" s="22"/>
      <c r="G74" s="2"/>
      <c r="H74" s="2"/>
      <c r="I74" s="2"/>
      <c r="J74" s="2"/>
      <c r="K74" s="2"/>
    </row>
    <row r="75" ht="28.5" customHeight="1" spans="1:11">
      <c r="A75" s="2"/>
      <c r="B75" s="32"/>
      <c r="C75" s="33"/>
      <c r="D75" s="2"/>
      <c r="E75" s="2"/>
      <c r="F75" s="22"/>
      <c r="G75" s="2"/>
      <c r="H75" s="2"/>
      <c r="I75" s="2"/>
      <c r="J75" s="2"/>
      <c r="K75" s="2"/>
    </row>
    <row r="76" ht="28.5" customHeight="1" spans="1:11">
      <c r="A76" s="2"/>
      <c r="B76" s="32"/>
      <c r="C76" s="33"/>
      <c r="D76" s="2"/>
      <c r="E76" s="2"/>
      <c r="F76" s="22"/>
      <c r="G76" s="2"/>
      <c r="H76" s="2"/>
      <c r="I76" s="2"/>
      <c r="J76" s="2"/>
      <c r="K76" s="2"/>
    </row>
    <row r="77" ht="28.5" customHeight="1" spans="1:11">
      <c r="A77" s="2"/>
      <c r="B77" s="32"/>
      <c r="C77" s="33"/>
      <c r="D77" s="2"/>
      <c r="E77" s="2"/>
      <c r="F77" s="22"/>
      <c r="G77" s="2"/>
      <c r="H77" s="2"/>
      <c r="I77" s="2"/>
      <c r="J77" s="2"/>
      <c r="K77" s="2"/>
    </row>
    <row r="78" ht="28.5" customHeight="1" spans="1:11">
      <c r="A78" s="2"/>
      <c r="B78" s="32"/>
      <c r="C78" s="33"/>
      <c r="D78" s="2"/>
      <c r="E78" s="2"/>
      <c r="F78" s="22"/>
      <c r="G78" s="2"/>
      <c r="H78" s="2"/>
      <c r="I78" s="2"/>
      <c r="J78" s="2"/>
      <c r="K78" s="2"/>
    </row>
    <row r="79" ht="28.5" customHeight="1" spans="1:11">
      <c r="A79" s="2"/>
      <c r="B79" s="32"/>
      <c r="C79" s="33"/>
      <c r="D79" s="2"/>
      <c r="E79" s="2"/>
      <c r="F79" s="22"/>
      <c r="G79" s="2"/>
      <c r="H79" s="2"/>
      <c r="I79" s="2"/>
      <c r="J79" s="2"/>
      <c r="K79" s="2"/>
    </row>
    <row r="80" ht="28.5" customHeight="1" spans="1:11">
      <c r="A80" s="2"/>
      <c r="B80" s="32"/>
      <c r="C80" s="33"/>
      <c r="D80" s="2"/>
      <c r="E80" s="2"/>
      <c r="F80" s="22"/>
      <c r="G80" s="2"/>
      <c r="H80" s="2"/>
      <c r="I80" s="2"/>
      <c r="J80" s="2"/>
      <c r="K80" s="2"/>
    </row>
    <row r="81" ht="28.5" customHeight="1" spans="1:11">
      <c r="A81" s="2"/>
      <c r="B81" s="32"/>
      <c r="C81" s="33"/>
      <c r="D81" s="2"/>
      <c r="E81" s="2"/>
      <c r="F81" s="22"/>
      <c r="G81" s="2"/>
      <c r="H81" s="2"/>
      <c r="I81" s="2"/>
      <c r="J81" s="2"/>
      <c r="K81" s="2"/>
    </row>
    <row r="82" ht="28.5" customHeight="1" spans="1:11">
      <c r="A82" s="2"/>
      <c r="B82" s="32"/>
      <c r="C82" s="33"/>
      <c r="D82" s="2"/>
      <c r="E82" s="2"/>
      <c r="F82" s="22"/>
      <c r="G82" s="2"/>
      <c r="H82" s="2"/>
      <c r="I82" s="2"/>
      <c r="J82" s="2"/>
      <c r="K82" s="2"/>
    </row>
    <row r="83" ht="28.5" customHeight="1" spans="1:11">
      <c r="A83" s="2"/>
      <c r="B83" s="32"/>
      <c r="C83" s="33"/>
      <c r="D83" s="2"/>
      <c r="E83" s="2"/>
      <c r="F83" s="22"/>
      <c r="G83" s="2"/>
      <c r="H83" s="2"/>
      <c r="I83" s="2"/>
      <c r="J83" s="2"/>
      <c r="K83" s="2"/>
    </row>
    <row r="84" ht="28.5" customHeight="1" spans="1:11">
      <c r="A84" s="2"/>
      <c r="B84" s="32"/>
      <c r="C84" s="33"/>
      <c r="D84" s="2"/>
      <c r="E84" s="2"/>
      <c r="F84" s="22"/>
      <c r="G84" s="2"/>
      <c r="H84" s="2"/>
      <c r="I84" s="2"/>
      <c r="J84" s="2"/>
      <c r="K84" s="2"/>
    </row>
    <row r="85" ht="28.5" customHeight="1" spans="1:11">
      <c r="A85" s="2"/>
      <c r="B85" s="32"/>
      <c r="C85" s="33"/>
      <c r="D85" s="2"/>
      <c r="E85" s="2"/>
      <c r="F85" s="22"/>
      <c r="G85" s="2"/>
      <c r="H85" s="2"/>
      <c r="I85" s="2"/>
      <c r="J85" s="2"/>
      <c r="K85" s="2"/>
    </row>
    <row r="86" ht="28.5" customHeight="1" spans="1:11">
      <c r="A86" s="2"/>
      <c r="B86" s="32"/>
      <c r="C86" s="33"/>
      <c r="D86" s="2"/>
      <c r="E86" s="2"/>
      <c r="F86" s="22"/>
      <c r="G86" s="2"/>
      <c r="H86" s="2"/>
      <c r="I86" s="2"/>
      <c r="J86" s="2"/>
      <c r="K86" s="2"/>
    </row>
    <row r="87" ht="28.5" customHeight="1" spans="1:11">
      <c r="A87" s="2"/>
      <c r="B87" s="32"/>
      <c r="C87" s="33"/>
      <c r="D87" s="2"/>
      <c r="E87" s="2"/>
      <c r="F87" s="22"/>
      <c r="G87" s="2"/>
      <c r="H87" s="2"/>
      <c r="I87" s="2"/>
      <c r="J87" s="2"/>
      <c r="K87" s="2"/>
    </row>
    <row r="88" ht="28.5" customHeight="1" spans="1:11">
      <c r="A88" s="2"/>
      <c r="B88" s="32"/>
      <c r="C88" s="33"/>
      <c r="D88" s="2"/>
      <c r="E88" s="2"/>
      <c r="F88" s="22"/>
      <c r="G88" s="2"/>
      <c r="H88" s="2"/>
      <c r="I88" s="2"/>
      <c r="J88" s="2"/>
      <c r="K88" s="2"/>
    </row>
    <row r="89" ht="28.5" customHeight="1" spans="1:11">
      <c r="A89" s="2"/>
      <c r="B89" s="32"/>
      <c r="C89" s="33"/>
      <c r="D89" s="2"/>
      <c r="E89" s="2"/>
      <c r="F89" s="22"/>
      <c r="G89" s="2"/>
      <c r="H89" s="2"/>
      <c r="I89" s="2"/>
      <c r="J89" s="2"/>
      <c r="K89" s="2"/>
    </row>
    <row r="90" ht="28.5" customHeight="1" spans="1:11">
      <c r="A90" s="2"/>
      <c r="B90" s="32"/>
      <c r="C90" s="33"/>
      <c r="D90" s="2"/>
      <c r="E90" s="2"/>
      <c r="F90" s="22"/>
      <c r="G90" s="2"/>
      <c r="H90" s="2"/>
      <c r="I90" s="2"/>
      <c r="J90" s="2"/>
      <c r="K90" s="2"/>
    </row>
    <row r="91" ht="28.5" customHeight="1" spans="1:11">
      <c r="A91" s="2"/>
      <c r="B91" s="32"/>
      <c r="C91" s="33"/>
      <c r="D91" s="2"/>
      <c r="E91" s="2"/>
      <c r="F91" s="22"/>
      <c r="G91" s="2"/>
      <c r="H91" s="2"/>
      <c r="I91" s="2"/>
      <c r="J91" s="2"/>
      <c r="K91" s="2"/>
    </row>
    <row r="92" ht="28.5" customHeight="1" spans="1:11">
      <c r="A92" s="2"/>
      <c r="B92" s="32"/>
      <c r="C92" s="33"/>
      <c r="D92" s="2"/>
      <c r="E92" s="2"/>
      <c r="F92" s="22"/>
      <c r="G92" s="2"/>
      <c r="H92" s="2"/>
      <c r="I92" s="2"/>
      <c r="J92" s="2"/>
      <c r="K92" s="2"/>
    </row>
    <row r="93" ht="28.5" customHeight="1" spans="1:11">
      <c r="A93" s="2"/>
      <c r="B93" s="32"/>
      <c r="C93" s="33"/>
      <c r="D93" s="2"/>
      <c r="E93" s="2"/>
      <c r="F93" s="22"/>
      <c r="G93" s="2"/>
      <c r="H93" s="2"/>
      <c r="I93" s="2"/>
      <c r="J93" s="2"/>
      <c r="K93" s="2"/>
    </row>
    <row r="94" ht="28.5" customHeight="1" spans="1:11">
      <c r="A94" s="2"/>
      <c r="B94" s="32"/>
      <c r="C94" s="33"/>
      <c r="D94" s="2"/>
      <c r="E94" s="2"/>
      <c r="F94" s="22"/>
      <c r="G94" s="2"/>
      <c r="H94" s="2"/>
      <c r="I94" s="2"/>
      <c r="J94" s="2"/>
      <c r="K94" s="2"/>
    </row>
    <row r="95" ht="28.5" customHeight="1" spans="1:11">
      <c r="A95" s="2"/>
      <c r="B95" s="32"/>
      <c r="C95" s="33"/>
      <c r="D95" s="2"/>
      <c r="E95" s="2"/>
      <c r="F95" s="22"/>
      <c r="G95" s="2"/>
      <c r="H95" s="2"/>
      <c r="I95" s="2"/>
      <c r="J95" s="2"/>
      <c r="K95" s="2"/>
    </row>
    <row r="96" ht="28.5" customHeight="1" spans="1:11">
      <c r="A96" s="2"/>
      <c r="B96" s="32"/>
      <c r="C96" s="33"/>
      <c r="D96" s="2"/>
      <c r="E96" s="2"/>
      <c r="F96" s="22"/>
      <c r="G96" s="2"/>
      <c r="H96" s="2"/>
      <c r="I96" s="2"/>
      <c r="J96" s="2"/>
      <c r="K96" s="2"/>
    </row>
    <row r="97" ht="28.5" customHeight="1" spans="1:11">
      <c r="A97" s="2"/>
      <c r="B97" s="32"/>
      <c r="C97" s="33"/>
      <c r="D97" s="2"/>
      <c r="E97" s="2"/>
      <c r="F97" s="22"/>
      <c r="G97" s="2"/>
      <c r="H97" s="2"/>
      <c r="I97" s="2"/>
      <c r="J97" s="2"/>
      <c r="K97" s="2"/>
    </row>
    <row r="98" ht="28.5" customHeight="1" spans="1:11">
      <c r="A98" s="2"/>
      <c r="B98" s="32"/>
      <c r="C98" s="33"/>
      <c r="D98" s="2"/>
      <c r="E98" s="2"/>
      <c r="F98" s="22"/>
      <c r="G98" s="2"/>
      <c r="H98" s="2"/>
      <c r="I98" s="2"/>
      <c r="J98" s="2"/>
      <c r="K98" s="2"/>
    </row>
    <row r="99" ht="28.5" customHeight="1" spans="1:11">
      <c r="A99" s="2"/>
      <c r="B99" s="32"/>
      <c r="C99" s="33"/>
      <c r="D99" s="2"/>
      <c r="E99" s="2"/>
      <c r="F99" s="22"/>
      <c r="G99" s="2"/>
      <c r="H99" s="2"/>
      <c r="I99" s="2"/>
      <c r="J99" s="2"/>
      <c r="K99" s="2"/>
    </row>
    <row r="100" ht="28.5" customHeight="1" spans="1:11">
      <c r="A100" s="2"/>
      <c r="B100" s="32"/>
      <c r="C100" s="33"/>
      <c r="D100" s="2"/>
      <c r="E100" s="2"/>
      <c r="F100" s="22"/>
      <c r="G100" s="2"/>
      <c r="H100" s="2"/>
      <c r="I100" s="2"/>
      <c r="J100" s="2"/>
      <c r="K100" s="2"/>
    </row>
  </sheetData>
  <autoFilter xmlns:etc="http://www.wps.cn/officeDocument/2017/etCustomData" ref="A1:F16" etc:filterBottomFollowUsedRange="0">
    <extLst/>
  </autoFilter>
  <mergeCells count="4">
    <mergeCell ref="A1:F1"/>
    <mergeCell ref="A2:F2"/>
    <mergeCell ref="A21:F21"/>
    <mergeCell ref="A22:F22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42727272727273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96</v>
      </c>
      <c r="G1" s="2"/>
      <c r="H1" s="2"/>
      <c r="I1" s="2"/>
      <c r="J1" s="2"/>
      <c r="K1" s="2"/>
    </row>
    <row r="2" ht="22.5" customHeight="1" spans="1:11">
      <c r="A2" s="1" t="s">
        <v>97</v>
      </c>
      <c r="G2" s="2"/>
      <c r="H2" s="2"/>
      <c r="I2" s="2"/>
      <c r="J2" s="2"/>
      <c r="K2" s="2"/>
    </row>
    <row r="3" ht="28.5" customHeight="1" spans="1:11">
      <c r="A3" s="3" t="s">
        <v>98</v>
      </c>
      <c r="B3" s="4" t="s">
        <v>3</v>
      </c>
      <c r="C3" s="3" t="s">
        <v>4</v>
      </c>
      <c r="D3" s="3" t="s">
        <v>5</v>
      </c>
      <c r="E3" s="3" t="s">
        <v>27</v>
      </c>
      <c r="F3" s="5" t="s">
        <v>28</v>
      </c>
      <c r="G3" s="2"/>
      <c r="H3" s="2"/>
      <c r="I3" s="2"/>
      <c r="J3" s="2"/>
      <c r="K3" s="2"/>
    </row>
    <row r="4" ht="21.75" customHeight="1" spans="1:11">
      <c r="A4" s="6"/>
      <c r="B4" s="4" t="s">
        <v>99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7">
        <v>17</v>
      </c>
      <c r="B5" s="8" t="s">
        <v>134</v>
      </c>
      <c r="C5" s="9" t="s">
        <v>103</v>
      </c>
      <c r="D5" s="7">
        <v>44332</v>
      </c>
      <c r="E5" s="9">
        <v>44057</v>
      </c>
      <c r="F5" s="115" t="s">
        <v>135</v>
      </c>
      <c r="G5" s="10">
        <f t="shared" ref="G5:G14" si="0">ROUND(E5/2,0)</f>
        <v>22029</v>
      </c>
      <c r="H5" s="10"/>
      <c r="I5" s="10"/>
      <c r="J5" s="10"/>
      <c r="K5" s="10"/>
    </row>
    <row r="6" ht="28.5" customHeight="1" spans="1:11">
      <c r="A6" s="7">
        <v>44</v>
      </c>
      <c r="B6" s="11" t="s">
        <v>193</v>
      </c>
      <c r="C6" s="9" t="s">
        <v>103</v>
      </c>
      <c r="D6" s="7">
        <v>70000</v>
      </c>
      <c r="E6" s="9">
        <v>69725</v>
      </c>
      <c r="F6" s="115" t="s">
        <v>194</v>
      </c>
      <c r="G6" s="10">
        <f t="shared" si="0"/>
        <v>34863</v>
      </c>
      <c r="H6" s="10"/>
      <c r="I6" s="10"/>
      <c r="J6" s="10"/>
      <c r="K6" s="10"/>
    </row>
    <row r="7" ht="28.5" customHeight="1" spans="1:11">
      <c r="A7" s="7">
        <v>51</v>
      </c>
      <c r="B7" s="8" t="s">
        <v>206</v>
      </c>
      <c r="C7" s="9" t="s">
        <v>103</v>
      </c>
      <c r="D7" s="7">
        <v>38000</v>
      </c>
      <c r="E7" s="9">
        <v>37725</v>
      </c>
      <c r="F7" s="115" t="s">
        <v>207</v>
      </c>
      <c r="G7" s="10">
        <f t="shared" si="0"/>
        <v>18863</v>
      </c>
      <c r="H7" s="10"/>
      <c r="I7" s="10"/>
      <c r="J7" s="10"/>
      <c r="K7" s="10"/>
    </row>
    <row r="8" ht="28.5" customHeight="1" spans="1:11">
      <c r="A8" s="7">
        <v>57</v>
      </c>
      <c r="B8" s="8" t="s">
        <v>219</v>
      </c>
      <c r="C8" s="9" t="s">
        <v>108</v>
      </c>
      <c r="D8" s="7">
        <v>59890</v>
      </c>
      <c r="E8" s="9">
        <v>59615</v>
      </c>
      <c r="F8" s="115" t="s">
        <v>220</v>
      </c>
      <c r="G8" s="10">
        <f t="shared" si="0"/>
        <v>29808</v>
      </c>
      <c r="H8" s="10"/>
      <c r="I8" s="10"/>
      <c r="J8" s="10"/>
      <c r="K8" s="10"/>
    </row>
    <row r="9" ht="28.5" customHeight="1" spans="1:11">
      <c r="A9" s="7">
        <v>71</v>
      </c>
      <c r="B9" s="8" t="s">
        <v>248</v>
      </c>
      <c r="C9" s="9" t="s">
        <v>103</v>
      </c>
      <c r="D9" s="7">
        <v>90000</v>
      </c>
      <c r="E9" s="9">
        <v>89725</v>
      </c>
      <c r="F9" s="7"/>
      <c r="G9" s="10">
        <f t="shared" si="0"/>
        <v>44863</v>
      </c>
      <c r="H9" s="10"/>
      <c r="I9" s="10"/>
      <c r="J9" s="10"/>
      <c r="K9" s="10"/>
    </row>
    <row r="10" ht="28.5" customHeight="1" spans="1:11">
      <c r="A10" s="12">
        <v>78</v>
      </c>
      <c r="B10" s="13" t="s">
        <v>261</v>
      </c>
      <c r="C10" s="14" t="s">
        <v>108</v>
      </c>
      <c r="D10" s="12">
        <v>35000</v>
      </c>
      <c r="E10" s="14">
        <v>34725</v>
      </c>
      <c r="F10" s="117" t="s">
        <v>262</v>
      </c>
      <c r="G10" s="15">
        <f t="shared" si="0"/>
        <v>17363</v>
      </c>
      <c r="H10" s="15"/>
      <c r="I10" s="15"/>
      <c r="J10" s="15"/>
      <c r="K10" s="15"/>
    </row>
    <row r="11" ht="28.5" customHeight="1" spans="1:11">
      <c r="A11" s="7">
        <v>86</v>
      </c>
      <c r="B11" s="8" t="s">
        <v>278</v>
      </c>
      <c r="C11" s="9" t="s">
        <v>108</v>
      </c>
      <c r="D11" s="7">
        <v>65000</v>
      </c>
      <c r="E11" s="9">
        <v>64725</v>
      </c>
      <c r="F11" s="115" t="s">
        <v>279</v>
      </c>
      <c r="G11" s="10">
        <f t="shared" si="0"/>
        <v>32363</v>
      </c>
      <c r="H11" s="10"/>
      <c r="I11" s="10"/>
      <c r="J11" s="10"/>
      <c r="K11" s="10"/>
    </row>
    <row r="12" ht="28.5" customHeight="1" spans="1:11">
      <c r="A12" s="12">
        <v>92</v>
      </c>
      <c r="B12" s="13" t="s">
        <v>290</v>
      </c>
      <c r="C12" s="14" t="s">
        <v>211</v>
      </c>
      <c r="D12" s="12">
        <v>36000</v>
      </c>
      <c r="E12" s="14">
        <v>35725</v>
      </c>
      <c r="F12" s="117" t="s">
        <v>291</v>
      </c>
      <c r="G12" s="15">
        <f t="shared" si="0"/>
        <v>17863</v>
      </c>
      <c r="H12" s="15"/>
      <c r="I12" s="15"/>
      <c r="J12" s="15"/>
      <c r="K12" s="15"/>
    </row>
    <row r="13" ht="28.5" customHeight="1" spans="1:11">
      <c r="A13" s="12">
        <v>93</v>
      </c>
      <c r="B13" s="13" t="s">
        <v>292</v>
      </c>
      <c r="C13" s="14" t="s">
        <v>211</v>
      </c>
      <c r="D13" s="12">
        <v>35000</v>
      </c>
      <c r="E13" s="14">
        <v>34725</v>
      </c>
      <c r="F13" s="117" t="s">
        <v>293</v>
      </c>
      <c r="G13" s="15">
        <f t="shared" si="0"/>
        <v>17363</v>
      </c>
      <c r="H13" s="15"/>
      <c r="I13" s="15"/>
      <c r="J13" s="15"/>
      <c r="K13" s="15"/>
    </row>
    <row r="14" ht="28.5" customHeight="1" spans="1:11">
      <c r="A14" s="12">
        <v>121</v>
      </c>
      <c r="B14" s="13" t="s">
        <v>354</v>
      </c>
      <c r="C14" s="14" t="s">
        <v>355</v>
      </c>
      <c r="D14" s="12">
        <v>15000</v>
      </c>
      <c r="E14" s="12">
        <v>15000</v>
      </c>
      <c r="F14" s="117" t="s">
        <v>356</v>
      </c>
      <c r="G14" s="15">
        <f t="shared" si="0"/>
        <v>7500</v>
      </c>
      <c r="H14" s="15"/>
      <c r="I14" s="15"/>
      <c r="J14" s="15"/>
      <c r="K14" s="15"/>
    </row>
    <row r="15" ht="28.5" customHeight="1" spans="1:11">
      <c r="A15" s="16"/>
      <c r="B15" s="17" t="s">
        <v>9</v>
      </c>
      <c r="C15" s="18"/>
      <c r="D15" s="18">
        <f t="shared" ref="D15:E15" si="1">SUM(D5:D14)</f>
        <v>488222</v>
      </c>
      <c r="E15" s="18">
        <f t="shared" si="1"/>
        <v>485747</v>
      </c>
      <c r="F15" s="18"/>
      <c r="G15" s="6">
        <f>SUM(G5:G14)</f>
        <v>242878</v>
      </c>
      <c r="H15" s="6"/>
      <c r="I15" s="6"/>
      <c r="J15" s="6"/>
      <c r="K15" s="6"/>
    </row>
    <row r="16" ht="28.5" customHeight="1" spans="1:11">
      <c r="A16" s="19"/>
      <c r="B16" s="20"/>
      <c r="C16" s="20"/>
      <c r="D16" s="21"/>
      <c r="E16" s="19"/>
      <c r="F16" s="22"/>
      <c r="G16" s="2"/>
      <c r="H16" s="2"/>
      <c r="I16" s="2"/>
      <c r="J16" s="2"/>
      <c r="K16" s="2"/>
    </row>
    <row r="17" ht="28.5" customHeight="1" spans="1:11">
      <c r="A17" s="23">
        <v>10</v>
      </c>
      <c r="B17" s="24" t="s">
        <v>120</v>
      </c>
      <c r="C17" s="25" t="s">
        <v>108</v>
      </c>
      <c r="D17" s="25">
        <v>23000</v>
      </c>
      <c r="E17" s="25">
        <v>22725</v>
      </c>
      <c r="F17" s="112" t="s">
        <v>121</v>
      </c>
      <c r="G17" s="27">
        <f>ROUND(E17/2,0)</f>
        <v>11363</v>
      </c>
      <c r="H17" s="27"/>
      <c r="I17" s="27"/>
      <c r="J17" s="27"/>
      <c r="K17" s="27"/>
    </row>
    <row r="18" ht="28.5" customHeight="1" spans="1:11">
      <c r="A18" s="19"/>
      <c r="B18" s="17"/>
      <c r="C18" s="18"/>
      <c r="D18" s="16"/>
      <c r="E18" s="19"/>
      <c r="F18" s="22"/>
      <c r="G18" s="2"/>
      <c r="H18" s="2"/>
      <c r="I18" s="2"/>
      <c r="J18" s="2"/>
      <c r="K18" s="2"/>
    </row>
    <row r="19" ht="28.5" customHeight="1" spans="1:11">
      <c r="A19" s="19"/>
      <c r="B19" s="17"/>
      <c r="C19" s="18"/>
      <c r="D19" s="16"/>
      <c r="E19" s="19"/>
      <c r="F19" s="22"/>
      <c r="G19" s="2"/>
      <c r="H19" s="2"/>
      <c r="I19" s="2"/>
      <c r="J19" s="2"/>
      <c r="K19" s="2"/>
    </row>
    <row r="20" ht="28.5" hidden="1" customHeight="1" spans="1:11">
      <c r="A20" s="28" t="s">
        <v>96</v>
      </c>
      <c r="G20" s="2"/>
      <c r="H20" s="2"/>
      <c r="I20" s="2"/>
      <c r="J20" s="2"/>
      <c r="K20" s="2"/>
    </row>
    <row r="21" ht="28.5" hidden="1" customHeight="1" spans="1:11">
      <c r="A21" s="28" t="s">
        <v>421</v>
      </c>
      <c r="G21" s="2"/>
      <c r="H21" s="2"/>
      <c r="I21" s="2"/>
      <c r="J21" s="2"/>
      <c r="K21" s="2"/>
    </row>
    <row r="22" ht="41.25" hidden="1" customHeight="1" spans="1:11">
      <c r="A22" s="18" t="s">
        <v>98</v>
      </c>
      <c r="B22" s="17" t="s">
        <v>3</v>
      </c>
      <c r="C22" s="18" t="s">
        <v>4</v>
      </c>
      <c r="D22" s="18" t="s">
        <v>5</v>
      </c>
      <c r="E22" s="18" t="s">
        <v>27</v>
      </c>
      <c r="F22" s="5" t="s">
        <v>28</v>
      </c>
      <c r="G22" s="2"/>
      <c r="H22" s="2"/>
      <c r="I22" s="2"/>
      <c r="J22" s="2"/>
      <c r="K22" s="2"/>
    </row>
    <row r="23" ht="28.5" customHeight="1" spans="1:11">
      <c r="A23" s="28"/>
      <c r="B23" s="29"/>
      <c r="C23" s="30"/>
      <c r="D23" s="28"/>
      <c r="E23" s="28"/>
      <c r="F23" s="31"/>
      <c r="G23" s="2"/>
      <c r="H23" s="2"/>
      <c r="I23" s="2"/>
      <c r="J23" s="2"/>
      <c r="K23" s="2"/>
    </row>
    <row r="24" ht="28.5" customHeight="1" spans="1:11">
      <c r="A24" s="2"/>
      <c r="B24" s="32"/>
      <c r="C24" s="33"/>
      <c r="D24" s="2"/>
      <c r="E24" s="2"/>
      <c r="F24" s="22"/>
      <c r="G24" s="2"/>
      <c r="H24" s="2"/>
      <c r="I24" s="2"/>
      <c r="J24" s="2"/>
      <c r="K24" s="2"/>
    </row>
    <row r="25" ht="28.5" customHeight="1" spans="1:11">
      <c r="A25" s="2"/>
      <c r="B25" s="32"/>
      <c r="C25" s="33"/>
      <c r="D25" s="2"/>
      <c r="E25" s="2"/>
      <c r="F25" s="22"/>
      <c r="G25" s="2"/>
      <c r="H25" s="2"/>
      <c r="I25" s="2"/>
      <c r="J25" s="2"/>
      <c r="K25" s="2"/>
    </row>
    <row r="26" ht="28.5" customHeight="1" spans="1:11">
      <c r="A26" s="2"/>
      <c r="B26" s="32"/>
      <c r="C26" s="33"/>
      <c r="D26" s="2"/>
      <c r="E26" s="2"/>
      <c r="F26" s="22"/>
      <c r="G26" s="2"/>
      <c r="H26" s="2"/>
      <c r="I26" s="2"/>
      <c r="J26" s="2"/>
      <c r="K26" s="2"/>
    </row>
    <row r="27" ht="28.5" customHeight="1" spans="1:11">
      <c r="A27" s="2"/>
      <c r="B27" s="32"/>
      <c r="C27" s="33"/>
      <c r="D27" s="2"/>
      <c r="E27" s="2"/>
      <c r="F27" s="22"/>
      <c r="G27" s="2"/>
      <c r="H27" s="2"/>
      <c r="I27" s="2"/>
      <c r="J27" s="2"/>
      <c r="K27" s="2"/>
    </row>
    <row r="28" ht="28.5" customHeight="1" spans="1:11">
      <c r="A28" s="2"/>
      <c r="B28" s="32"/>
      <c r="C28" s="33"/>
      <c r="D28" s="2"/>
      <c r="E28" s="2"/>
      <c r="F28" s="22"/>
      <c r="G28" s="2"/>
      <c r="H28" s="2"/>
      <c r="I28" s="2"/>
      <c r="J28" s="2"/>
      <c r="K28" s="2"/>
    </row>
    <row r="29" ht="28.5" customHeight="1" spans="1:11">
      <c r="A29" s="2"/>
      <c r="B29" s="32"/>
      <c r="C29" s="33"/>
      <c r="D29" s="2"/>
      <c r="E29" s="2"/>
      <c r="F29" s="22"/>
      <c r="G29" s="2"/>
      <c r="H29" s="2"/>
      <c r="I29" s="2"/>
      <c r="J29" s="2"/>
      <c r="K29" s="2"/>
    </row>
    <row r="30" ht="28.5" customHeight="1" spans="1:11">
      <c r="A30" s="2"/>
      <c r="B30" s="32"/>
      <c r="C30" s="33"/>
      <c r="D30" s="2"/>
      <c r="E30" s="2"/>
      <c r="F30" s="22"/>
      <c r="G30" s="2"/>
      <c r="H30" s="2"/>
      <c r="I30" s="2"/>
      <c r="J30" s="2"/>
      <c r="K30" s="2"/>
    </row>
    <row r="31" ht="28.5" customHeight="1" spans="1:11">
      <c r="A31" s="2"/>
      <c r="B31" s="32"/>
      <c r="C31" s="33"/>
      <c r="D31" s="2"/>
      <c r="E31" s="2"/>
      <c r="F31" s="22"/>
      <c r="G31" s="2"/>
      <c r="H31" s="2"/>
      <c r="I31" s="2"/>
      <c r="J31" s="2"/>
      <c r="K31" s="2"/>
    </row>
    <row r="32" ht="28.5" customHeight="1" spans="1:11">
      <c r="A32" s="2"/>
      <c r="B32" s="32"/>
      <c r="C32" s="33"/>
      <c r="D32" s="2"/>
      <c r="E32" s="2"/>
      <c r="F32" s="22"/>
      <c r="G32" s="2"/>
      <c r="H32" s="2"/>
      <c r="I32" s="2"/>
      <c r="J32" s="2"/>
      <c r="K32" s="2"/>
    </row>
    <row r="33" ht="28.5" customHeight="1" spans="1:11">
      <c r="A33" s="2"/>
      <c r="B33" s="32"/>
      <c r="C33" s="33"/>
      <c r="D33" s="2"/>
      <c r="E33" s="2"/>
      <c r="F33" s="22"/>
      <c r="G33" s="2"/>
      <c r="H33" s="2"/>
      <c r="I33" s="2"/>
      <c r="J33" s="2"/>
      <c r="K33" s="2"/>
    </row>
    <row r="34" ht="28.5" customHeight="1" spans="1:11">
      <c r="A34" s="2"/>
      <c r="B34" s="32"/>
      <c r="C34" s="33"/>
      <c r="D34" s="2"/>
      <c r="E34" s="2"/>
      <c r="F34" s="22"/>
      <c r="G34" s="2"/>
      <c r="H34" s="2"/>
      <c r="I34" s="2"/>
      <c r="J34" s="2"/>
      <c r="K34" s="2"/>
    </row>
    <row r="35" ht="28.5" customHeight="1" spans="1:11">
      <c r="A35" s="2"/>
      <c r="B35" s="32"/>
      <c r="C35" s="33"/>
      <c r="D35" s="2"/>
      <c r="E35" s="2"/>
      <c r="F35" s="22"/>
      <c r="G35" s="2"/>
      <c r="H35" s="2"/>
      <c r="I35" s="2"/>
      <c r="J35" s="2"/>
      <c r="K35" s="2"/>
    </row>
    <row r="36" ht="28.5" customHeight="1" spans="1:11">
      <c r="A36" s="2"/>
      <c r="B36" s="32"/>
      <c r="C36" s="33"/>
      <c r="D36" s="2"/>
      <c r="E36" s="2"/>
      <c r="F36" s="22"/>
      <c r="G36" s="2"/>
      <c r="H36" s="2"/>
      <c r="I36" s="2"/>
      <c r="J36" s="2"/>
      <c r="K36" s="2"/>
    </row>
    <row r="37" ht="28.5" customHeight="1" spans="1:11">
      <c r="A37" s="2"/>
      <c r="B37" s="32"/>
      <c r="C37" s="33"/>
      <c r="D37" s="2"/>
      <c r="E37" s="2"/>
      <c r="F37" s="22"/>
      <c r="G37" s="2"/>
      <c r="H37" s="2"/>
      <c r="I37" s="2"/>
      <c r="J37" s="2"/>
      <c r="K37" s="2"/>
    </row>
    <row r="38" ht="28.5" customHeight="1" spans="1:11">
      <c r="A38" s="2"/>
      <c r="B38" s="32"/>
      <c r="C38" s="33"/>
      <c r="D38" s="2"/>
      <c r="E38" s="2"/>
      <c r="F38" s="22"/>
      <c r="G38" s="2"/>
      <c r="H38" s="2"/>
      <c r="I38" s="2"/>
      <c r="J38" s="2"/>
      <c r="K38" s="2"/>
    </row>
    <row r="39" ht="28.5" customHeight="1" spans="1:11">
      <c r="A39" s="2"/>
      <c r="B39" s="32"/>
      <c r="C39" s="33"/>
      <c r="D39" s="2"/>
      <c r="E39" s="2"/>
      <c r="F39" s="22"/>
      <c r="G39" s="2"/>
      <c r="H39" s="2"/>
      <c r="I39" s="2"/>
      <c r="J39" s="2"/>
      <c r="K39" s="2"/>
    </row>
    <row r="40" ht="28.5" customHeight="1" spans="1:11">
      <c r="A40" s="2"/>
      <c r="B40" s="32"/>
      <c r="C40" s="33"/>
      <c r="D40" s="2"/>
      <c r="E40" s="2"/>
      <c r="F40" s="22"/>
      <c r="G40" s="2"/>
      <c r="H40" s="2"/>
      <c r="I40" s="2"/>
      <c r="J40" s="2"/>
      <c r="K40" s="2"/>
    </row>
    <row r="41" ht="28.5" customHeight="1" spans="1:11">
      <c r="A41" s="2"/>
      <c r="B41" s="32"/>
      <c r="C41" s="33"/>
      <c r="D41" s="2"/>
      <c r="E41" s="2"/>
      <c r="F41" s="22"/>
      <c r="G41" s="2"/>
      <c r="H41" s="2"/>
      <c r="I41" s="2"/>
      <c r="J41" s="2"/>
      <c r="K41" s="2"/>
    </row>
    <row r="42" ht="28.5" customHeight="1" spans="1:11">
      <c r="A42" s="2"/>
      <c r="B42" s="32"/>
      <c r="C42" s="33"/>
      <c r="D42" s="2"/>
      <c r="E42" s="2"/>
      <c r="F42" s="22"/>
      <c r="G42" s="2"/>
      <c r="H42" s="2"/>
      <c r="I42" s="2"/>
      <c r="J42" s="2"/>
      <c r="K42" s="2"/>
    </row>
    <row r="43" ht="28.5" customHeight="1" spans="1:11">
      <c r="A43" s="2"/>
      <c r="B43" s="32"/>
      <c r="C43" s="33"/>
      <c r="D43" s="2"/>
      <c r="E43" s="2"/>
      <c r="F43" s="22"/>
      <c r="G43" s="2"/>
      <c r="H43" s="2"/>
      <c r="I43" s="2"/>
      <c r="J43" s="2"/>
      <c r="K43" s="2"/>
    </row>
    <row r="44" ht="28.5" customHeight="1" spans="1:11">
      <c r="A44" s="2"/>
      <c r="B44" s="32"/>
      <c r="C44" s="33"/>
      <c r="D44" s="2"/>
      <c r="E44" s="2"/>
      <c r="F44" s="22"/>
      <c r="G44" s="2"/>
      <c r="H44" s="2"/>
      <c r="I44" s="2"/>
      <c r="J44" s="2"/>
      <c r="K44" s="2"/>
    </row>
    <row r="45" ht="28.5" customHeight="1" spans="1:11">
      <c r="A45" s="2"/>
      <c r="B45" s="32"/>
      <c r="C45" s="33"/>
      <c r="D45" s="2"/>
      <c r="E45" s="2"/>
      <c r="F45" s="22"/>
      <c r="G45" s="2"/>
      <c r="H45" s="2"/>
      <c r="I45" s="2"/>
      <c r="J45" s="2"/>
      <c r="K45" s="2"/>
    </row>
    <row r="46" ht="28.5" customHeight="1" spans="1:11">
      <c r="A46" s="2"/>
      <c r="B46" s="32"/>
      <c r="C46" s="33"/>
      <c r="D46" s="2"/>
      <c r="E46" s="2"/>
      <c r="F46" s="22"/>
      <c r="G46" s="2"/>
      <c r="H46" s="2"/>
      <c r="I46" s="2"/>
      <c r="J46" s="2"/>
      <c r="K46" s="2"/>
    </row>
    <row r="47" ht="28.5" customHeight="1" spans="1:11">
      <c r="A47" s="2"/>
      <c r="B47" s="32"/>
      <c r="C47" s="33"/>
      <c r="D47" s="2"/>
      <c r="E47" s="2"/>
      <c r="F47" s="22"/>
      <c r="G47" s="2"/>
      <c r="H47" s="2"/>
      <c r="I47" s="2"/>
      <c r="J47" s="2"/>
      <c r="K47" s="2"/>
    </row>
    <row r="48" ht="28.5" customHeight="1" spans="1:11">
      <c r="A48" s="2"/>
      <c r="B48" s="32"/>
      <c r="C48" s="33"/>
      <c r="D48" s="2"/>
      <c r="E48" s="2"/>
      <c r="F48" s="22"/>
      <c r="G48" s="2"/>
      <c r="H48" s="2"/>
      <c r="I48" s="2"/>
      <c r="J48" s="2"/>
      <c r="K48" s="2"/>
    </row>
    <row r="49" ht="28.5" customHeight="1" spans="1:11">
      <c r="A49" s="2"/>
      <c r="B49" s="32"/>
      <c r="C49" s="33"/>
      <c r="D49" s="2"/>
      <c r="E49" s="2"/>
      <c r="F49" s="22"/>
      <c r="G49" s="2"/>
      <c r="H49" s="2"/>
      <c r="I49" s="2"/>
      <c r="J49" s="2"/>
      <c r="K49" s="2"/>
    </row>
    <row r="50" ht="28.5" customHeight="1" spans="1:11">
      <c r="A50" s="2"/>
      <c r="B50" s="32"/>
      <c r="C50" s="33"/>
      <c r="D50" s="2"/>
      <c r="E50" s="2"/>
      <c r="F50" s="22"/>
      <c r="G50" s="2"/>
      <c r="H50" s="2"/>
      <c r="I50" s="2"/>
      <c r="J50" s="2"/>
      <c r="K50" s="2"/>
    </row>
    <row r="51" ht="28.5" customHeight="1" spans="1:11">
      <c r="A51" s="2"/>
      <c r="B51" s="32"/>
      <c r="C51" s="33"/>
      <c r="D51" s="2"/>
      <c r="E51" s="2"/>
      <c r="F51" s="22"/>
      <c r="G51" s="2"/>
      <c r="H51" s="2"/>
      <c r="I51" s="2"/>
      <c r="J51" s="2"/>
      <c r="K51" s="2"/>
    </row>
    <row r="52" ht="28.5" customHeight="1" spans="1:11">
      <c r="A52" s="2"/>
      <c r="B52" s="32"/>
      <c r="C52" s="33"/>
      <c r="D52" s="2"/>
      <c r="E52" s="2"/>
      <c r="F52" s="22"/>
      <c r="G52" s="2"/>
      <c r="H52" s="2"/>
      <c r="I52" s="2"/>
      <c r="J52" s="2"/>
      <c r="K52" s="2"/>
    </row>
    <row r="53" ht="28.5" customHeight="1" spans="1:11">
      <c r="A53" s="2"/>
      <c r="B53" s="32"/>
      <c r="C53" s="33"/>
      <c r="D53" s="2"/>
      <c r="E53" s="2"/>
      <c r="F53" s="22"/>
      <c r="G53" s="2"/>
      <c r="H53" s="2"/>
      <c r="I53" s="2"/>
      <c r="J53" s="2"/>
      <c r="K53" s="2"/>
    </row>
    <row r="54" ht="28.5" customHeight="1" spans="1:11">
      <c r="A54" s="2"/>
      <c r="B54" s="32"/>
      <c r="C54" s="33"/>
      <c r="D54" s="2"/>
      <c r="E54" s="2"/>
      <c r="F54" s="22"/>
      <c r="G54" s="2"/>
      <c r="H54" s="2"/>
      <c r="I54" s="2"/>
      <c r="J54" s="2"/>
      <c r="K54" s="2"/>
    </row>
    <row r="55" ht="28.5" customHeight="1" spans="1:11">
      <c r="A55" s="2"/>
      <c r="B55" s="32"/>
      <c r="C55" s="33"/>
      <c r="D55" s="2"/>
      <c r="E55" s="2"/>
      <c r="F55" s="22"/>
      <c r="G55" s="2"/>
      <c r="H55" s="2"/>
      <c r="I55" s="2"/>
      <c r="J55" s="2"/>
      <c r="K55" s="2"/>
    </row>
    <row r="56" ht="28.5" customHeight="1" spans="1:11">
      <c r="A56" s="2"/>
      <c r="B56" s="32"/>
      <c r="C56" s="33"/>
      <c r="D56" s="2"/>
      <c r="E56" s="2"/>
      <c r="F56" s="22"/>
      <c r="G56" s="2"/>
      <c r="H56" s="2"/>
      <c r="I56" s="2"/>
      <c r="J56" s="2"/>
      <c r="K56" s="2"/>
    </row>
    <row r="57" ht="28.5" customHeight="1" spans="1:11">
      <c r="A57" s="2"/>
      <c r="B57" s="32"/>
      <c r="C57" s="33"/>
      <c r="D57" s="2"/>
      <c r="E57" s="2"/>
      <c r="F57" s="22"/>
      <c r="G57" s="2"/>
      <c r="H57" s="2"/>
      <c r="I57" s="2"/>
      <c r="J57" s="2"/>
      <c r="K57" s="2"/>
    </row>
    <row r="58" ht="28.5" customHeight="1" spans="1:11">
      <c r="A58" s="2"/>
      <c r="B58" s="32"/>
      <c r="C58" s="33"/>
      <c r="D58" s="2"/>
      <c r="E58" s="2"/>
      <c r="F58" s="22"/>
      <c r="G58" s="2"/>
      <c r="H58" s="2"/>
      <c r="I58" s="2"/>
      <c r="J58" s="2"/>
      <c r="K58" s="2"/>
    </row>
    <row r="59" ht="28.5" customHeight="1" spans="1:11">
      <c r="A59" s="2"/>
      <c r="B59" s="32"/>
      <c r="C59" s="33"/>
      <c r="D59" s="2"/>
      <c r="E59" s="2"/>
      <c r="F59" s="22"/>
      <c r="G59" s="2"/>
      <c r="H59" s="2"/>
      <c r="I59" s="2"/>
      <c r="J59" s="2"/>
      <c r="K59" s="2"/>
    </row>
    <row r="60" ht="28.5" customHeight="1" spans="1:11">
      <c r="A60" s="2"/>
      <c r="B60" s="32"/>
      <c r="C60" s="33"/>
      <c r="D60" s="2"/>
      <c r="E60" s="2"/>
      <c r="F60" s="22"/>
      <c r="G60" s="2"/>
      <c r="H60" s="2"/>
      <c r="I60" s="2"/>
      <c r="J60" s="2"/>
      <c r="K60" s="2"/>
    </row>
    <row r="61" ht="28.5" customHeight="1" spans="1:11">
      <c r="A61" s="2"/>
      <c r="B61" s="32"/>
      <c r="C61" s="33"/>
      <c r="D61" s="2"/>
      <c r="E61" s="2"/>
      <c r="F61" s="22"/>
      <c r="G61" s="2"/>
      <c r="H61" s="2"/>
      <c r="I61" s="2"/>
      <c r="J61" s="2"/>
      <c r="K61" s="2"/>
    </row>
    <row r="62" ht="28.5" customHeight="1" spans="1:11">
      <c r="A62" s="2"/>
      <c r="B62" s="32"/>
      <c r="C62" s="33"/>
      <c r="D62" s="2"/>
      <c r="E62" s="2"/>
      <c r="F62" s="22"/>
      <c r="G62" s="2"/>
      <c r="H62" s="2"/>
      <c r="I62" s="2"/>
      <c r="J62" s="2"/>
      <c r="K62" s="2"/>
    </row>
    <row r="63" ht="28.5" customHeight="1" spans="1:11">
      <c r="A63" s="2"/>
      <c r="B63" s="32"/>
      <c r="C63" s="33"/>
      <c r="D63" s="2"/>
      <c r="E63" s="2"/>
      <c r="F63" s="22"/>
      <c r="G63" s="2"/>
      <c r="H63" s="2"/>
      <c r="I63" s="2"/>
      <c r="J63" s="2"/>
      <c r="K63" s="2"/>
    </row>
    <row r="64" ht="28.5" customHeight="1" spans="1:11">
      <c r="A64" s="2"/>
      <c r="B64" s="32"/>
      <c r="C64" s="33"/>
      <c r="D64" s="2"/>
      <c r="E64" s="2"/>
      <c r="F64" s="22"/>
      <c r="G64" s="2"/>
      <c r="H64" s="2"/>
      <c r="I64" s="2"/>
      <c r="J64" s="2"/>
      <c r="K64" s="2"/>
    </row>
    <row r="65" ht="28.5" customHeight="1" spans="1:11">
      <c r="A65" s="2"/>
      <c r="B65" s="32"/>
      <c r="C65" s="33"/>
      <c r="D65" s="2"/>
      <c r="E65" s="2"/>
      <c r="F65" s="22"/>
      <c r="G65" s="2"/>
      <c r="H65" s="2"/>
      <c r="I65" s="2"/>
      <c r="J65" s="2"/>
      <c r="K65" s="2"/>
    </row>
    <row r="66" ht="28.5" customHeight="1" spans="1:11">
      <c r="A66" s="2"/>
      <c r="B66" s="32"/>
      <c r="C66" s="33"/>
      <c r="D66" s="2"/>
      <c r="E66" s="2"/>
      <c r="F66" s="22"/>
      <c r="G66" s="2"/>
      <c r="H66" s="2"/>
      <c r="I66" s="2"/>
      <c r="J66" s="2"/>
      <c r="K66" s="2"/>
    </row>
    <row r="67" ht="28.5" customHeight="1" spans="1:11">
      <c r="A67" s="2"/>
      <c r="B67" s="32"/>
      <c r="C67" s="33"/>
      <c r="D67" s="2"/>
      <c r="E67" s="2"/>
      <c r="F67" s="22"/>
      <c r="G67" s="2"/>
      <c r="H67" s="2"/>
      <c r="I67" s="2"/>
      <c r="J67" s="2"/>
      <c r="K67" s="2"/>
    </row>
    <row r="68" ht="28.5" customHeight="1" spans="1:11">
      <c r="A68" s="2"/>
      <c r="B68" s="32"/>
      <c r="C68" s="33"/>
      <c r="D68" s="2"/>
      <c r="E68" s="2"/>
      <c r="F68" s="22"/>
      <c r="G68" s="2"/>
      <c r="H68" s="2"/>
      <c r="I68" s="2"/>
      <c r="J68" s="2"/>
      <c r="K68" s="2"/>
    </row>
    <row r="69" ht="28.5" customHeight="1" spans="1:11">
      <c r="A69" s="2"/>
      <c r="B69" s="32"/>
      <c r="C69" s="33"/>
      <c r="D69" s="2"/>
      <c r="E69" s="2"/>
      <c r="F69" s="22"/>
      <c r="G69" s="2"/>
      <c r="H69" s="2"/>
      <c r="I69" s="2"/>
      <c r="J69" s="2"/>
      <c r="K69" s="2"/>
    </row>
    <row r="70" ht="28.5" customHeight="1" spans="1:11">
      <c r="A70" s="2"/>
      <c r="B70" s="32"/>
      <c r="C70" s="33"/>
      <c r="D70" s="2"/>
      <c r="E70" s="2"/>
      <c r="F70" s="22"/>
      <c r="G70" s="2"/>
      <c r="H70" s="2"/>
      <c r="I70" s="2"/>
      <c r="J70" s="2"/>
      <c r="K70" s="2"/>
    </row>
    <row r="71" ht="28.5" customHeight="1" spans="1:11">
      <c r="A71" s="2"/>
      <c r="B71" s="32"/>
      <c r="C71" s="33"/>
      <c r="D71" s="2"/>
      <c r="E71" s="2"/>
      <c r="F71" s="22"/>
      <c r="G71" s="2"/>
      <c r="H71" s="2"/>
      <c r="I71" s="2"/>
      <c r="J71" s="2"/>
      <c r="K71" s="2"/>
    </row>
    <row r="72" ht="28.5" customHeight="1" spans="1:11">
      <c r="A72" s="2"/>
      <c r="B72" s="32"/>
      <c r="C72" s="33"/>
      <c r="D72" s="2"/>
      <c r="E72" s="2"/>
      <c r="F72" s="22"/>
      <c r="G72" s="2"/>
      <c r="H72" s="2"/>
      <c r="I72" s="2"/>
      <c r="J72" s="2"/>
      <c r="K72" s="2"/>
    </row>
    <row r="73" ht="28.5" customHeight="1" spans="1:11">
      <c r="A73" s="2"/>
      <c r="B73" s="32"/>
      <c r="C73" s="33"/>
      <c r="D73" s="2"/>
      <c r="E73" s="2"/>
      <c r="F73" s="22"/>
      <c r="G73" s="2"/>
      <c r="H73" s="2"/>
      <c r="I73" s="2"/>
      <c r="J73" s="2"/>
      <c r="K73" s="2"/>
    </row>
    <row r="74" ht="28.5" customHeight="1" spans="1:11">
      <c r="A74" s="2"/>
      <c r="B74" s="32"/>
      <c r="C74" s="33"/>
      <c r="D74" s="2"/>
      <c r="E74" s="2"/>
      <c r="F74" s="22"/>
      <c r="G74" s="2"/>
      <c r="H74" s="2"/>
      <c r="I74" s="2"/>
      <c r="J74" s="2"/>
      <c r="K74" s="2"/>
    </row>
    <row r="75" ht="28.5" customHeight="1" spans="1:11">
      <c r="A75" s="2"/>
      <c r="B75" s="32"/>
      <c r="C75" s="33"/>
      <c r="D75" s="2"/>
      <c r="E75" s="2"/>
      <c r="F75" s="22"/>
      <c r="G75" s="2"/>
      <c r="H75" s="2"/>
      <c r="I75" s="2"/>
      <c r="J75" s="2"/>
      <c r="K75" s="2"/>
    </row>
    <row r="76" ht="28.5" customHeight="1" spans="1:11">
      <c r="A76" s="2"/>
      <c r="B76" s="32"/>
      <c r="C76" s="33"/>
      <c r="D76" s="2"/>
      <c r="E76" s="2"/>
      <c r="F76" s="22"/>
      <c r="G76" s="2"/>
      <c r="H76" s="2"/>
      <c r="I76" s="2"/>
      <c r="J76" s="2"/>
      <c r="K76" s="2"/>
    </row>
    <row r="77" ht="28.5" customHeight="1" spans="1:11">
      <c r="A77" s="2"/>
      <c r="B77" s="32"/>
      <c r="C77" s="33"/>
      <c r="D77" s="2"/>
      <c r="E77" s="2"/>
      <c r="F77" s="22"/>
      <c r="G77" s="2"/>
      <c r="H77" s="2"/>
      <c r="I77" s="2"/>
      <c r="J77" s="2"/>
      <c r="K77" s="2"/>
    </row>
    <row r="78" ht="28.5" customHeight="1" spans="1:11">
      <c r="A78" s="2"/>
      <c r="B78" s="32"/>
      <c r="C78" s="33"/>
      <c r="D78" s="2"/>
      <c r="E78" s="2"/>
      <c r="F78" s="22"/>
      <c r="G78" s="2"/>
      <c r="H78" s="2"/>
      <c r="I78" s="2"/>
      <c r="J78" s="2"/>
      <c r="K78" s="2"/>
    </row>
    <row r="79" ht="28.5" customHeight="1" spans="1:11">
      <c r="A79" s="2"/>
      <c r="B79" s="32"/>
      <c r="C79" s="33"/>
      <c r="D79" s="2"/>
      <c r="E79" s="2"/>
      <c r="F79" s="22"/>
      <c r="G79" s="2"/>
      <c r="H79" s="2"/>
      <c r="I79" s="2"/>
      <c r="J79" s="2"/>
      <c r="K79" s="2"/>
    </row>
    <row r="80" ht="28.5" customHeight="1" spans="1:11">
      <c r="A80" s="2"/>
      <c r="B80" s="32"/>
      <c r="C80" s="33"/>
      <c r="D80" s="2"/>
      <c r="E80" s="2"/>
      <c r="F80" s="22"/>
      <c r="G80" s="2"/>
      <c r="H80" s="2"/>
      <c r="I80" s="2"/>
      <c r="J80" s="2"/>
      <c r="K80" s="2"/>
    </row>
    <row r="81" ht="28.5" customHeight="1" spans="1:11">
      <c r="A81" s="2"/>
      <c r="B81" s="32"/>
      <c r="C81" s="33"/>
      <c r="D81" s="2"/>
      <c r="E81" s="2"/>
      <c r="F81" s="22"/>
      <c r="G81" s="2"/>
      <c r="H81" s="2"/>
      <c r="I81" s="2"/>
      <c r="J81" s="2"/>
      <c r="K81" s="2"/>
    </row>
    <row r="82" ht="28.5" customHeight="1" spans="1:11">
      <c r="A82" s="2"/>
      <c r="B82" s="32"/>
      <c r="C82" s="33"/>
      <c r="D82" s="2"/>
      <c r="E82" s="2"/>
      <c r="F82" s="22"/>
      <c r="G82" s="2"/>
      <c r="H82" s="2"/>
      <c r="I82" s="2"/>
      <c r="J82" s="2"/>
      <c r="K82" s="2"/>
    </row>
    <row r="83" ht="28.5" customHeight="1" spans="1:11">
      <c r="A83" s="2"/>
      <c r="B83" s="32"/>
      <c r="C83" s="33"/>
      <c r="D83" s="2"/>
      <c r="E83" s="2"/>
      <c r="F83" s="22"/>
      <c r="G83" s="2"/>
      <c r="H83" s="2"/>
      <c r="I83" s="2"/>
      <c r="J83" s="2"/>
      <c r="K83" s="2"/>
    </row>
    <row r="84" ht="28.5" customHeight="1" spans="1:11">
      <c r="A84" s="2"/>
      <c r="B84" s="32"/>
      <c r="C84" s="33"/>
      <c r="D84" s="2"/>
      <c r="E84" s="2"/>
      <c r="F84" s="22"/>
      <c r="G84" s="2"/>
      <c r="H84" s="2"/>
      <c r="I84" s="2"/>
      <c r="J84" s="2"/>
      <c r="K84" s="2"/>
    </row>
    <row r="85" ht="28.5" customHeight="1" spans="1:11">
      <c r="A85" s="2"/>
      <c r="B85" s="32"/>
      <c r="C85" s="33"/>
      <c r="D85" s="2"/>
      <c r="E85" s="2"/>
      <c r="F85" s="22"/>
      <c r="G85" s="2"/>
      <c r="H85" s="2"/>
      <c r="I85" s="2"/>
      <c r="J85" s="2"/>
      <c r="K85" s="2"/>
    </row>
    <row r="86" ht="28.5" customHeight="1" spans="1:11">
      <c r="A86" s="2"/>
      <c r="B86" s="32"/>
      <c r="C86" s="33"/>
      <c r="D86" s="2"/>
      <c r="E86" s="2"/>
      <c r="F86" s="22"/>
      <c r="G86" s="2"/>
      <c r="H86" s="2"/>
      <c r="I86" s="2"/>
      <c r="J86" s="2"/>
      <c r="K86" s="2"/>
    </row>
    <row r="87" ht="28.5" customHeight="1" spans="1:11">
      <c r="A87" s="2"/>
      <c r="B87" s="32"/>
      <c r="C87" s="33"/>
      <c r="D87" s="2"/>
      <c r="E87" s="2"/>
      <c r="F87" s="22"/>
      <c r="G87" s="2"/>
      <c r="H87" s="2"/>
      <c r="I87" s="2"/>
      <c r="J87" s="2"/>
      <c r="K87" s="2"/>
    </row>
    <row r="88" ht="28.5" customHeight="1" spans="1:11">
      <c r="A88" s="2"/>
      <c r="B88" s="32"/>
      <c r="C88" s="33"/>
      <c r="D88" s="2"/>
      <c r="E88" s="2"/>
      <c r="F88" s="22"/>
      <c r="G88" s="2"/>
      <c r="H88" s="2"/>
      <c r="I88" s="2"/>
      <c r="J88" s="2"/>
      <c r="K88" s="2"/>
    </row>
    <row r="89" ht="28.5" customHeight="1" spans="1:11">
      <c r="A89" s="2"/>
      <c r="B89" s="32"/>
      <c r="C89" s="33"/>
      <c r="D89" s="2"/>
      <c r="E89" s="2"/>
      <c r="F89" s="22"/>
      <c r="G89" s="2"/>
      <c r="H89" s="2"/>
      <c r="I89" s="2"/>
      <c r="J89" s="2"/>
      <c r="K89" s="2"/>
    </row>
    <row r="90" ht="28.5" customHeight="1" spans="1:11">
      <c r="A90" s="2"/>
      <c r="B90" s="32"/>
      <c r="C90" s="33"/>
      <c r="D90" s="2"/>
      <c r="E90" s="2"/>
      <c r="F90" s="22"/>
      <c r="G90" s="2"/>
      <c r="H90" s="2"/>
      <c r="I90" s="2"/>
      <c r="J90" s="2"/>
      <c r="K90" s="2"/>
    </row>
    <row r="91" ht="28.5" customHeight="1" spans="1:11">
      <c r="A91" s="2"/>
      <c r="B91" s="32"/>
      <c r="C91" s="33"/>
      <c r="D91" s="2"/>
      <c r="E91" s="2"/>
      <c r="F91" s="22"/>
      <c r="G91" s="2"/>
      <c r="H91" s="2"/>
      <c r="I91" s="2"/>
      <c r="J91" s="2"/>
      <c r="K91" s="2"/>
    </row>
    <row r="92" ht="28.5" customHeight="1" spans="1:11">
      <c r="A92" s="2"/>
      <c r="B92" s="32"/>
      <c r="C92" s="33"/>
      <c r="D92" s="2"/>
      <c r="E92" s="2"/>
      <c r="F92" s="22"/>
      <c r="G92" s="2"/>
      <c r="H92" s="2"/>
      <c r="I92" s="2"/>
      <c r="J92" s="2"/>
      <c r="K92" s="2"/>
    </row>
    <row r="93" ht="28.5" customHeight="1" spans="1:11">
      <c r="A93" s="2"/>
      <c r="B93" s="32"/>
      <c r="C93" s="33"/>
      <c r="D93" s="2"/>
      <c r="E93" s="2"/>
      <c r="F93" s="22"/>
      <c r="G93" s="2"/>
      <c r="H93" s="2"/>
      <c r="I93" s="2"/>
      <c r="J93" s="2"/>
      <c r="K93" s="2"/>
    </row>
    <row r="94" ht="28.5" customHeight="1" spans="1:11">
      <c r="A94" s="2"/>
      <c r="B94" s="32"/>
      <c r="C94" s="33"/>
      <c r="D94" s="2"/>
      <c r="E94" s="2"/>
      <c r="F94" s="22"/>
      <c r="G94" s="2"/>
      <c r="H94" s="2"/>
      <c r="I94" s="2"/>
      <c r="J94" s="2"/>
      <c r="K94" s="2"/>
    </row>
    <row r="95" ht="28.5" customHeight="1" spans="1:11">
      <c r="A95" s="2"/>
      <c r="B95" s="32"/>
      <c r="C95" s="33"/>
      <c r="D95" s="2"/>
      <c r="E95" s="2"/>
      <c r="F95" s="22"/>
      <c r="G95" s="2"/>
      <c r="H95" s="2"/>
      <c r="I95" s="2"/>
      <c r="J95" s="2"/>
      <c r="K95" s="2"/>
    </row>
    <row r="96" ht="28.5" customHeight="1" spans="1:11">
      <c r="A96" s="2"/>
      <c r="B96" s="32"/>
      <c r="C96" s="33"/>
      <c r="D96" s="2"/>
      <c r="E96" s="2"/>
      <c r="F96" s="22"/>
      <c r="G96" s="2"/>
      <c r="H96" s="2"/>
      <c r="I96" s="2"/>
      <c r="J96" s="2"/>
      <c r="K96" s="2"/>
    </row>
    <row r="97" ht="28.5" customHeight="1" spans="1:11">
      <c r="A97" s="2"/>
      <c r="B97" s="32"/>
      <c r="C97" s="33"/>
      <c r="D97" s="2"/>
      <c r="E97" s="2"/>
      <c r="F97" s="22"/>
      <c r="G97" s="2"/>
      <c r="H97" s="2"/>
      <c r="I97" s="2"/>
      <c r="J97" s="2"/>
      <c r="K97" s="2"/>
    </row>
    <row r="98" ht="28.5" customHeight="1" spans="1:11">
      <c r="A98" s="2"/>
      <c r="B98" s="32"/>
      <c r="C98" s="33"/>
      <c r="D98" s="2"/>
      <c r="E98" s="2"/>
      <c r="F98" s="22"/>
      <c r="G98" s="2"/>
      <c r="H98" s="2"/>
      <c r="I98" s="2"/>
      <c r="J98" s="2"/>
      <c r="K98" s="2"/>
    </row>
    <row r="99" ht="28.5" customHeight="1" spans="1:11">
      <c r="A99" s="2"/>
      <c r="B99" s="32"/>
      <c r="C99" s="33"/>
      <c r="D99" s="2"/>
      <c r="E99" s="2"/>
      <c r="F99" s="22"/>
      <c r="G99" s="2"/>
      <c r="H99" s="2"/>
      <c r="I99" s="2"/>
      <c r="J99" s="2"/>
      <c r="K99" s="2"/>
    </row>
    <row r="100" ht="28.5" customHeight="1" spans="1:11">
      <c r="A100" s="2"/>
      <c r="B100" s="32"/>
      <c r="C100" s="33"/>
      <c r="D100" s="2"/>
      <c r="E100" s="2"/>
      <c r="F100" s="22"/>
      <c r="G100" s="2"/>
      <c r="H100" s="2"/>
      <c r="I100" s="2"/>
      <c r="J100" s="2"/>
      <c r="K100" s="2"/>
    </row>
  </sheetData>
  <autoFilter xmlns:etc="http://www.wps.cn/officeDocument/2017/etCustomData" ref="A1:F15" etc:filterBottomFollowUsedRange="0">
    <extLst/>
  </autoFilter>
  <mergeCells count="4">
    <mergeCell ref="A1:F1"/>
    <mergeCell ref="A2:F2"/>
    <mergeCell ref="A20:F20"/>
    <mergeCell ref="A21:F21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Admission</vt:lpstr>
      <vt:lpstr>Teaching (2)</vt:lpstr>
      <vt:lpstr>Teaching (5)</vt:lpstr>
      <vt:lpstr>Teaching (3)</vt:lpstr>
      <vt:lpstr>Teaching 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SVCET Principal Offi</dc:creator>
  <cp:lastModifiedBy>swath</cp:lastModifiedBy>
  <dcterms:created xsi:type="dcterms:W3CDTF">2006-09-16T00:00:00Z</dcterms:created>
  <cp:lastPrinted>2026-07-14T08:03:00Z</cp:lastPrinted>
  <dcterms:modified xsi:type="dcterms:W3CDTF">2026-08-12T06:42:10Z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9ADD0254ACC34E369B94102388CCBA01_12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