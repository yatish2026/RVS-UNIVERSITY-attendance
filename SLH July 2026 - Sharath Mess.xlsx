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<sst xmlns="http://schemas.openxmlformats.org/spreadsheetml/2006/main" count="83" uniqueCount="74">
  <si>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Sharath Mess SLH (July - 2026 No. of Days)</t>
  </si>
  <si>
    <t>Kitchen &amp; Services</t>
  </si>
  <si>
    <t>Sl. No.</t>
  </si>
  <si>
    <t>Name of the Sraff</t>
  </si>
  <si>
    <t>Salary</t>
  </si>
  <si>
    <t>Per Day</t>
  </si>
  <si>
    <t>Working Days</t>
  </si>
  <si>
    <t xml:space="preserve">Week off </t>
  </si>
  <si>
    <t>Total Pay Days</t>
  </si>
  <si>
    <t>Total</t>
  </si>
  <si>
    <t>Remarks</t>
  </si>
  <si>
    <t>Naveen Kumar</t>
  </si>
  <si>
    <t>Bablu</t>
  </si>
  <si>
    <t>Vijay Kumar</t>
  </si>
  <si>
    <t>Jaswir</t>
  </si>
  <si>
    <t>Mani Ram</t>
  </si>
  <si>
    <t>Ganga Ram</t>
  </si>
  <si>
    <t>Dhanbahadur</t>
  </si>
  <si>
    <t>Karan</t>
  </si>
  <si>
    <t>Harish</t>
  </si>
  <si>
    <t>Shiva</t>
  </si>
  <si>
    <t>Santanu Pandit</t>
  </si>
  <si>
    <t>Viswanath</t>
  </si>
  <si>
    <t>Sunny</t>
  </si>
  <si>
    <t>Sri krishna</t>
  </si>
  <si>
    <t>Sachin</t>
  </si>
  <si>
    <t>Sandesh</t>
  </si>
  <si>
    <t>NEW</t>
  </si>
  <si>
    <t>Krishna</t>
  </si>
  <si>
    <t>Devendra</t>
  </si>
  <si>
    <t>Mangal</t>
  </si>
  <si>
    <t>Hemanth</t>
  </si>
  <si>
    <t>Ajay Babu</t>
  </si>
  <si>
    <t>Nithin</t>
  </si>
  <si>
    <t>Suman Veera</t>
  </si>
  <si>
    <t>Abhi Veera</t>
  </si>
  <si>
    <t>Manas Veera</t>
  </si>
  <si>
    <t>Suvo Das</t>
  </si>
  <si>
    <t>Jay Bhadur (James)</t>
  </si>
  <si>
    <t>Shurav</t>
  </si>
  <si>
    <t>Prem</t>
  </si>
  <si>
    <t>Utility</t>
  </si>
  <si>
    <t>Kamalamma</t>
  </si>
  <si>
    <t>Devi</t>
  </si>
  <si>
    <t>Chandrakala</t>
  </si>
  <si>
    <t>Mujima</t>
  </si>
  <si>
    <t>Chittamma</t>
  </si>
  <si>
    <t>T Latha</t>
  </si>
  <si>
    <t>K.Vani</t>
  </si>
  <si>
    <t>K.Jyothiamma</t>
  </si>
  <si>
    <t>T.Krishnamma</t>
  </si>
  <si>
    <t>Mounika</t>
  </si>
  <si>
    <t>Nandini</t>
  </si>
  <si>
    <t>Anuradha</t>
  </si>
  <si>
    <t>Maniamma</t>
  </si>
  <si>
    <t>Ammulu new</t>
  </si>
  <si>
    <t>Chinamma</t>
  </si>
  <si>
    <t>Munikrishnamma</t>
  </si>
  <si>
    <t>Evilena</t>
  </si>
  <si>
    <t>Santhamma</t>
  </si>
  <si>
    <t>K Dhana laxmi</t>
  </si>
  <si>
    <t>Savithramma</t>
  </si>
  <si>
    <t>M. Latha</t>
  </si>
  <si>
    <t>Baburam</t>
  </si>
  <si>
    <t>Rajidham</t>
  </si>
  <si>
    <t>Jagadeswari</t>
  </si>
  <si>
    <t>Madhu</t>
  </si>
  <si>
    <t>Ravi</t>
  </si>
  <si>
    <t>Sharath</t>
  </si>
  <si>
    <t>Sanjeev</t>
  </si>
  <si>
    <t>Pest Control</t>
  </si>
  <si>
    <t>TOTAL</t>
  </si>
  <si>
    <t>HR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</si>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</sst>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4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6" xfId="49" applyFont="1" applyBorder="1" applyAlignment="1">
      <alignment horizontal="center" vertical="center"/>
    </xf>
    <xf numFmtId="0" fontId="4" fillId="0" borderId="6" xfId="49" applyFont="1" applyBorder="1" applyAlignment="1">
      <alignment horizontal="left" vertical="center"/>
    </xf>
    <xf numFmtId="1" fontId="4" fillId="0" borderId="6" xfId="49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49" applyFont="1" applyBorder="1" applyAlignment="1">
      <alignment horizontal="left" vertical="center"/>
    </xf>
    <xf numFmtId="0" fontId="4" fillId="0" borderId="1" xfId="49" applyFont="1" applyBorder="1" applyAlignment="1">
      <alignment horizontal="center" vertical="center"/>
    </xf>
    <xf numFmtId="1" fontId="4" fillId="0" borderId="1" xfId="49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49" applyFont="1" applyBorder="1" applyAlignment="1">
      <alignment horizontal="left" vertical="center"/>
    </xf>
    <xf numFmtId="0" fontId="6" fillId="0" borderId="3" xfId="49" applyFont="1" applyBorder="1" applyAlignment="1">
      <alignment horizontal="left" vertical="center"/>
    </xf>
    <xf numFmtId="1" fontId="4" fillId="0" borderId="3" xfId="49" applyNumberFormat="1" applyFont="1" applyBorder="1" applyAlignment="1">
      <alignment horizontal="center" vertical="center"/>
    </xf>
    <xf numFmtId="0" fontId="4" fillId="0" borderId="5" xfId="49" applyFont="1" applyBorder="1" applyAlignment="1">
      <alignment horizontal="center" vertical="center"/>
    </xf>
    <xf numFmtId="0" fontId="4" fillId="0" borderId="5" xfId="49" applyFont="1" applyBorder="1" applyAlignment="1">
      <alignment horizontal="left" vertical="center"/>
    </xf>
    <xf numFmtId="1" fontId="4" fillId="0" borderId="5" xfId="49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" xfId="49" applyFont="1" applyBorder="1" applyAlignment="1">
      <alignment horizontal="right" vertical="center"/>
    </xf>
    <xf numFmtId="0" fontId="6" fillId="0" borderId="4" xfId="49" applyFont="1" applyBorder="1" applyAlignment="1">
      <alignment horizontal="right" vertical="center"/>
    </xf>
    <xf numFmtId="0" fontId="6" fillId="0" borderId="6" xfId="49" applyFont="1" applyBorder="1" applyAlignment="1">
      <alignment horizontal="center" vertical="center"/>
    </xf>
    <xf numFmtId="1" fontId="6" fillId="0" borderId="6" xfId="49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67"/>
  <sheetViews>
    <sheetView tabSelected="1" topLeftCell="A40" workbookViewId="0">
      <selection activeCell="M47" sqref="M47"/>
    </sheetView>
  </sheetViews>
  <sheetFormatPr defaultColWidth="9" defaultRowHeight="14.5"/>
  <cols>
    <col min="1" max="1" width="3.36363636363636" customWidth="1"/>
    <col min="2" max="2" width="4" customWidth="1"/>
    <col min="3" max="3" width="18.1818181818182" customWidth="1"/>
    <col min="4" max="10" width="12.6363636363636" customWidth="1"/>
    <col min="11" max="11" width="1.54545454545455" customWidth="1"/>
  </cols>
  <sheetData>
    <row r="1" s="1" customFormat="1" ht="27" customHeight="1" spans="2:10">
      <c r="B1" s="9" t="s">
        <v>0</v>
      </c>
      <c r="C1" s="9"/>
      <c r="D1" s="9"/>
      <c r="E1" s="9"/>
      <c r="F1" s="9"/>
      <c r="G1" s="9"/>
      <c r="H1" s="9"/>
      <c r="I1" s="9"/>
      <c r="J1" s="9"/>
    </row>
    <row r="2" s="1" customFormat="1" ht="25.5" customHeight="1" spans="2:10">
      <c r="B2" s="10" t="s">
        <v>1</v>
      </c>
      <c r="C2" s="11"/>
      <c r="D2" s="12"/>
      <c r="E2" s="13"/>
      <c r="F2" s="13"/>
      <c r="G2" s="13"/>
      <c r="H2" s="13"/>
      <c r="I2" s="13"/>
      <c r="J2" s="14"/>
    </row>
    <row r="3" s="2" customFormat="1" ht="33.5" customHeight="1" spans="2:10"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</row>
    <row r="4" s="3" customFormat="1" ht="24.5" customHeight="1" spans="2:10">
      <c r="B4" s="16">
        <v>1</v>
      </c>
      <c r="C4" s="17" t="s">
        <v>11</v>
      </c>
      <c r="D4" s="16">
        <v>35000</v>
      </c>
      <c r="E4" s="18">
        <f>D4/31</f>
        <v>1129.03225806452</v>
      </c>
      <c r="F4" s="19">
        <v>28</v>
      </c>
      <c r="G4" s="19">
        <v>3</v>
      </c>
      <c r="H4" s="16">
        <f t="shared" ref="H4:H32" si="0">F4+G4</f>
        <v>31</v>
      </c>
      <c r="I4" s="18">
        <f t="shared" ref="I4:I32" si="1">H4*E4</f>
        <v>35000</v>
      </c>
      <c r="J4" s="19"/>
    </row>
    <row r="5" s="3" customFormat="1" ht="24.5" customHeight="1" spans="2:10">
      <c r="B5" s="16">
        <v>2</v>
      </c>
      <c r="C5" s="17" t="s">
        <v>12</v>
      </c>
      <c r="D5" s="16">
        <v>45000</v>
      </c>
      <c r="E5" s="18">
        <f t="shared" ref="E5:E36" si="2">D5/31</f>
        <v>1451.61290322581</v>
      </c>
      <c r="F5" s="19">
        <v>28</v>
      </c>
      <c r="G5" s="19">
        <v>3</v>
      </c>
      <c r="H5" s="16">
        <f t="shared" si="0"/>
        <v>31</v>
      </c>
      <c r="I5" s="18">
        <f t="shared" si="1"/>
        <v>45000</v>
      </c>
      <c r="J5" s="19"/>
    </row>
    <row r="6" s="3" customFormat="1" ht="24.5" customHeight="1" spans="2:10">
      <c r="B6" s="16">
        <v>3</v>
      </c>
      <c r="C6" s="17" t="s">
        <v>13</v>
      </c>
      <c r="D6" s="16">
        <v>17000</v>
      </c>
      <c r="E6" s="18">
        <f t="shared" si="2"/>
        <v>548.387096774194</v>
      </c>
      <c r="F6" s="19">
        <v>28</v>
      </c>
      <c r="G6" s="19">
        <v>3</v>
      </c>
      <c r="H6" s="16">
        <f t="shared" si="0"/>
        <v>31</v>
      </c>
      <c r="I6" s="18">
        <f t="shared" si="1"/>
        <v>17000</v>
      </c>
      <c r="J6" s="19"/>
    </row>
    <row r="7" s="3" customFormat="1" ht="24.5" customHeight="1" spans="2:10">
      <c r="B7" s="16">
        <v>4</v>
      </c>
      <c r="C7" s="17" t="s">
        <v>14</v>
      </c>
      <c r="D7" s="16">
        <v>14000</v>
      </c>
      <c r="E7" s="18">
        <f t="shared" si="2"/>
        <v>451.612903225806</v>
      </c>
      <c r="F7" s="19">
        <v>31</v>
      </c>
      <c r="G7" s="19">
        <v>0</v>
      </c>
      <c r="H7" s="16">
        <f t="shared" si="0"/>
        <v>31</v>
      </c>
      <c r="I7" s="18">
        <f t="shared" si="1"/>
        <v>14000</v>
      </c>
      <c r="J7" s="19"/>
    </row>
    <row r="8" s="3" customFormat="1" ht="24.5" customHeight="1" spans="2:10">
      <c r="B8" s="16">
        <v>5</v>
      </c>
      <c r="C8" s="17" t="s">
        <v>15</v>
      </c>
      <c r="D8" s="16">
        <v>12000</v>
      </c>
      <c r="E8" s="18">
        <f t="shared" si="2"/>
        <v>387.096774193548</v>
      </c>
      <c r="F8" s="19">
        <v>31</v>
      </c>
      <c r="G8" s="19">
        <v>0</v>
      </c>
      <c r="H8" s="16">
        <f t="shared" si="0"/>
        <v>31</v>
      </c>
      <c r="I8" s="18">
        <f t="shared" si="1"/>
        <v>12000</v>
      </c>
      <c r="J8" s="19"/>
    </row>
    <row r="9" s="3" customFormat="1" ht="24.5" customHeight="1" spans="2:10">
      <c r="B9" s="16">
        <v>6</v>
      </c>
      <c r="C9" s="17" t="s">
        <v>16</v>
      </c>
      <c r="D9" s="16">
        <v>12000</v>
      </c>
      <c r="E9" s="18">
        <f t="shared" si="2"/>
        <v>387.096774193548</v>
      </c>
      <c r="F9" s="19">
        <v>31</v>
      </c>
      <c r="G9" s="19">
        <v>0</v>
      </c>
      <c r="H9" s="16">
        <f t="shared" si="0"/>
        <v>31</v>
      </c>
      <c r="I9" s="18">
        <f t="shared" si="1"/>
        <v>12000</v>
      </c>
      <c r="J9" s="19"/>
    </row>
    <row r="10" s="3" customFormat="1" ht="24.5" customHeight="1" spans="2:10">
      <c r="B10" s="16">
        <v>7</v>
      </c>
      <c r="C10" s="17" t="s">
        <v>17</v>
      </c>
      <c r="D10" s="16">
        <v>18000</v>
      </c>
      <c r="E10" s="18">
        <f t="shared" si="2"/>
        <v>580.645161290323</v>
      </c>
      <c r="F10" s="19">
        <v>31</v>
      </c>
      <c r="G10" s="19">
        <v>0</v>
      </c>
      <c r="H10" s="16">
        <f t="shared" si="0"/>
        <v>31</v>
      </c>
      <c r="I10" s="18">
        <f t="shared" si="1"/>
        <v>18000</v>
      </c>
      <c r="J10" s="19"/>
    </row>
    <row r="11" s="3" customFormat="1" ht="24.5" customHeight="1" spans="2:10">
      <c r="B11" s="16">
        <v>8</v>
      </c>
      <c r="C11" s="17" t="s">
        <v>18</v>
      </c>
      <c r="D11" s="16">
        <v>14000</v>
      </c>
      <c r="E11" s="18">
        <f t="shared" si="2"/>
        <v>451.612903225806</v>
      </c>
      <c r="F11" s="19">
        <v>31</v>
      </c>
      <c r="G11" s="19">
        <v>0</v>
      </c>
      <c r="H11" s="16">
        <f t="shared" si="0"/>
        <v>31</v>
      </c>
      <c r="I11" s="18">
        <f t="shared" si="1"/>
        <v>14000</v>
      </c>
      <c r="J11" s="19"/>
    </row>
    <row r="12" s="3" customFormat="1" ht="24.5" customHeight="1" spans="2:10">
      <c r="B12" s="16">
        <v>9</v>
      </c>
      <c r="C12" s="17" t="s">
        <v>19</v>
      </c>
      <c r="D12" s="16">
        <v>19000</v>
      </c>
      <c r="E12" s="18">
        <f t="shared" si="2"/>
        <v>612.903225806452</v>
      </c>
      <c r="F12" s="19">
        <v>31</v>
      </c>
      <c r="G12" s="19">
        <v>0</v>
      </c>
      <c r="H12" s="16">
        <f t="shared" si="0"/>
        <v>31</v>
      </c>
      <c r="I12" s="18">
        <f t="shared" si="1"/>
        <v>19000</v>
      </c>
      <c r="J12" s="19"/>
    </row>
    <row r="13" s="3" customFormat="1" ht="24.5" customHeight="1" spans="2:10">
      <c r="B13" s="16">
        <v>10</v>
      </c>
      <c r="C13" s="17" t="s">
        <v>20</v>
      </c>
      <c r="D13" s="16">
        <v>14000</v>
      </c>
      <c r="E13" s="18">
        <f t="shared" si="2"/>
        <v>451.612903225806</v>
      </c>
      <c r="F13" s="19">
        <v>31</v>
      </c>
      <c r="G13" s="19">
        <v>0</v>
      </c>
      <c r="H13" s="16">
        <f t="shared" si="0"/>
        <v>31</v>
      </c>
      <c r="I13" s="18">
        <f t="shared" si="1"/>
        <v>14000</v>
      </c>
      <c r="J13" s="19"/>
    </row>
    <row r="14" s="4" customFormat="1" ht="24.5" customHeight="1" spans="2:10">
      <c r="B14" s="16">
        <v>11</v>
      </c>
      <c r="C14" s="17" t="s">
        <v>21</v>
      </c>
      <c r="D14" s="16">
        <v>15000</v>
      </c>
      <c r="E14" s="18">
        <f t="shared" si="2"/>
        <v>483.870967741935</v>
      </c>
      <c r="F14" s="19">
        <v>31</v>
      </c>
      <c r="G14" s="19">
        <v>0</v>
      </c>
      <c r="H14" s="16">
        <f t="shared" si="0"/>
        <v>31</v>
      </c>
      <c r="I14" s="18">
        <f t="shared" si="1"/>
        <v>15000</v>
      </c>
      <c r="J14" s="19"/>
    </row>
    <row r="15" s="3" customFormat="1" ht="24.5" customHeight="1" spans="2:10">
      <c r="B15" s="16">
        <v>12</v>
      </c>
      <c r="C15" s="17" t="s">
        <v>22</v>
      </c>
      <c r="D15" s="16">
        <v>11000</v>
      </c>
      <c r="E15" s="18">
        <f t="shared" si="2"/>
        <v>354.838709677419</v>
      </c>
      <c r="F15" s="19">
        <v>31</v>
      </c>
      <c r="G15" s="19">
        <v>0</v>
      </c>
      <c r="H15" s="16">
        <f t="shared" si="0"/>
        <v>31</v>
      </c>
      <c r="I15" s="18">
        <f t="shared" si="1"/>
        <v>11000</v>
      </c>
      <c r="J15" s="19"/>
    </row>
    <row r="16" s="3" customFormat="1" ht="24.5" customHeight="1" spans="2:10">
      <c r="B16" s="16">
        <v>13</v>
      </c>
      <c r="C16" s="17" t="s">
        <v>23</v>
      </c>
      <c r="D16" s="16">
        <v>12000</v>
      </c>
      <c r="E16" s="18">
        <f t="shared" si="2"/>
        <v>387.096774193548</v>
      </c>
      <c r="F16" s="19">
        <v>31</v>
      </c>
      <c r="G16" s="19">
        <v>0</v>
      </c>
      <c r="H16" s="16">
        <f t="shared" si="0"/>
        <v>31</v>
      </c>
      <c r="I16" s="18">
        <f t="shared" si="1"/>
        <v>12000</v>
      </c>
      <c r="J16" s="19"/>
    </row>
    <row r="17" s="3" customFormat="1" ht="24.5" customHeight="1" spans="2:10">
      <c r="B17" s="16">
        <v>14</v>
      </c>
      <c r="C17" s="17" t="s">
        <v>24</v>
      </c>
      <c r="D17" s="16">
        <v>17000</v>
      </c>
      <c r="E17" s="18">
        <f t="shared" si="2"/>
        <v>548.387096774194</v>
      </c>
      <c r="F17" s="19">
        <v>31</v>
      </c>
      <c r="G17" s="19">
        <v>0</v>
      </c>
      <c r="H17" s="16">
        <f t="shared" si="0"/>
        <v>31</v>
      </c>
      <c r="I17" s="18">
        <f t="shared" si="1"/>
        <v>17000</v>
      </c>
      <c r="J17" s="19"/>
    </row>
    <row r="18" s="5" customFormat="1" ht="24.5" customHeight="1" spans="2:10">
      <c r="B18" s="16">
        <v>15</v>
      </c>
      <c r="C18" s="17" t="s">
        <v>25</v>
      </c>
      <c r="D18" s="16">
        <v>11000</v>
      </c>
      <c r="E18" s="18">
        <f t="shared" si="2"/>
        <v>354.838709677419</v>
      </c>
      <c r="F18" s="19">
        <v>31</v>
      </c>
      <c r="G18" s="19">
        <v>0</v>
      </c>
      <c r="H18" s="16">
        <f t="shared" si="0"/>
        <v>31</v>
      </c>
      <c r="I18" s="18">
        <f t="shared" si="1"/>
        <v>11000</v>
      </c>
      <c r="J18" s="19"/>
    </row>
    <row r="19" s="5" customFormat="1" ht="24.5" customHeight="1" spans="2:10">
      <c r="B19" s="16">
        <v>16</v>
      </c>
      <c r="C19" s="17" t="s">
        <v>26</v>
      </c>
      <c r="D19" s="16">
        <v>12000</v>
      </c>
      <c r="E19" s="18">
        <f t="shared" si="2"/>
        <v>387.096774193548</v>
      </c>
      <c r="F19" s="19">
        <v>31</v>
      </c>
      <c r="G19" s="19">
        <v>0</v>
      </c>
      <c r="H19" s="16">
        <f t="shared" si="0"/>
        <v>31</v>
      </c>
      <c r="I19" s="18">
        <f t="shared" si="1"/>
        <v>12000</v>
      </c>
      <c r="J19" s="19" t="s">
        <v>27</v>
      </c>
    </row>
    <row r="20" s="5" customFormat="1" ht="24.5" customHeight="1" spans="2:10">
      <c r="B20" s="16">
        <v>17</v>
      </c>
      <c r="C20" s="17" t="s">
        <v>28</v>
      </c>
      <c r="D20" s="16">
        <v>12000</v>
      </c>
      <c r="E20" s="18">
        <f t="shared" si="2"/>
        <v>387.096774193548</v>
      </c>
      <c r="F20" s="19">
        <v>31</v>
      </c>
      <c r="G20" s="19">
        <v>0</v>
      </c>
      <c r="H20" s="16">
        <f t="shared" si="0"/>
        <v>31</v>
      </c>
      <c r="I20" s="18">
        <f t="shared" si="1"/>
        <v>12000</v>
      </c>
      <c r="J20" s="19"/>
    </row>
    <row r="21" s="5" customFormat="1" ht="24.5" customHeight="1" spans="2:10">
      <c r="B21" s="16">
        <v>18</v>
      </c>
      <c r="C21" s="17" t="s">
        <v>29</v>
      </c>
      <c r="D21" s="16">
        <v>12000</v>
      </c>
      <c r="E21" s="18">
        <f t="shared" si="2"/>
        <v>387.096774193548</v>
      </c>
      <c r="F21" s="19">
        <v>31</v>
      </c>
      <c r="G21" s="19">
        <v>0</v>
      </c>
      <c r="H21" s="16">
        <f t="shared" si="0"/>
        <v>31</v>
      </c>
      <c r="I21" s="18">
        <f t="shared" si="1"/>
        <v>12000</v>
      </c>
      <c r="J21" s="19"/>
    </row>
    <row r="22" s="5" customFormat="1" ht="24.5" customHeight="1" spans="2:10">
      <c r="B22" s="16">
        <v>19</v>
      </c>
      <c r="C22" s="17" t="s">
        <v>30</v>
      </c>
      <c r="D22" s="16">
        <v>11000</v>
      </c>
      <c r="E22" s="18">
        <f t="shared" si="2"/>
        <v>354.838709677419</v>
      </c>
      <c r="F22" s="19">
        <v>31</v>
      </c>
      <c r="G22" s="19">
        <v>0</v>
      </c>
      <c r="H22" s="16">
        <f t="shared" si="0"/>
        <v>31</v>
      </c>
      <c r="I22" s="18">
        <f t="shared" si="1"/>
        <v>11000</v>
      </c>
      <c r="J22" s="19" t="s">
        <v>27</v>
      </c>
    </row>
    <row r="23" s="5" customFormat="1" ht="24.5" customHeight="1" spans="2:10">
      <c r="B23" s="16">
        <v>20</v>
      </c>
      <c r="C23" s="17" t="s">
        <v>31</v>
      </c>
      <c r="D23" s="16">
        <v>11000</v>
      </c>
      <c r="E23" s="18">
        <f t="shared" si="2"/>
        <v>354.838709677419</v>
      </c>
      <c r="F23" s="19">
        <v>31</v>
      </c>
      <c r="G23" s="19">
        <v>0</v>
      </c>
      <c r="H23" s="16">
        <f t="shared" si="0"/>
        <v>31</v>
      </c>
      <c r="I23" s="18">
        <f t="shared" si="1"/>
        <v>11000</v>
      </c>
      <c r="J23" s="19" t="s">
        <v>27</v>
      </c>
    </row>
    <row r="24" s="3" customFormat="1" ht="24.5" customHeight="1" spans="2:10">
      <c r="B24" s="16">
        <v>21</v>
      </c>
      <c r="C24" s="17" t="s">
        <v>32</v>
      </c>
      <c r="D24" s="16">
        <v>14000</v>
      </c>
      <c r="E24" s="18">
        <f t="shared" si="2"/>
        <v>451.612903225806</v>
      </c>
      <c r="F24" s="19">
        <v>31</v>
      </c>
      <c r="G24" s="19">
        <v>0</v>
      </c>
      <c r="H24" s="16">
        <f t="shared" si="0"/>
        <v>31</v>
      </c>
      <c r="I24" s="18">
        <f t="shared" si="1"/>
        <v>14000</v>
      </c>
      <c r="J24" s="19"/>
    </row>
    <row r="25" s="3" customFormat="1" ht="24.5" customHeight="1" spans="2:10">
      <c r="B25" s="16">
        <v>22</v>
      </c>
      <c r="C25" s="17" t="s">
        <v>33</v>
      </c>
      <c r="D25" s="16">
        <v>11000</v>
      </c>
      <c r="E25" s="18">
        <f t="shared" si="2"/>
        <v>354.838709677419</v>
      </c>
      <c r="F25" s="19">
        <v>31</v>
      </c>
      <c r="G25" s="19">
        <v>0</v>
      </c>
      <c r="H25" s="16">
        <f t="shared" si="0"/>
        <v>31</v>
      </c>
      <c r="I25" s="18">
        <f t="shared" si="1"/>
        <v>11000</v>
      </c>
      <c r="J25" s="19" t="s">
        <v>27</v>
      </c>
    </row>
    <row r="26" s="3" customFormat="1" ht="24.5" customHeight="1" spans="2:10">
      <c r="B26" s="16">
        <v>23</v>
      </c>
      <c r="C26" s="17" t="s">
        <v>34</v>
      </c>
      <c r="D26" s="16">
        <v>11000</v>
      </c>
      <c r="E26" s="18">
        <f t="shared" si="2"/>
        <v>354.838709677419</v>
      </c>
      <c r="F26" s="19">
        <v>31</v>
      </c>
      <c r="G26" s="19">
        <v>0</v>
      </c>
      <c r="H26" s="16">
        <f t="shared" si="0"/>
        <v>31</v>
      </c>
      <c r="I26" s="18">
        <f t="shared" si="1"/>
        <v>11000</v>
      </c>
      <c r="J26" s="19" t="s">
        <v>27</v>
      </c>
    </row>
    <row r="27" s="3" customFormat="1" ht="24.5" customHeight="1" spans="2:10">
      <c r="B27" s="16">
        <v>24</v>
      </c>
      <c r="C27" s="17" t="s">
        <v>35</v>
      </c>
      <c r="D27" s="16">
        <v>11000</v>
      </c>
      <c r="E27" s="18">
        <f t="shared" si="2"/>
        <v>354.838709677419</v>
      </c>
      <c r="F27" s="19">
        <v>31</v>
      </c>
      <c r="G27" s="19">
        <v>0</v>
      </c>
      <c r="H27" s="16">
        <f t="shared" si="0"/>
        <v>31</v>
      </c>
      <c r="I27" s="18">
        <f t="shared" si="1"/>
        <v>11000</v>
      </c>
      <c r="J27" s="19"/>
    </row>
    <row r="28" s="3" customFormat="1" ht="24.5" customHeight="1" spans="2:10">
      <c r="B28" s="16">
        <v>25</v>
      </c>
      <c r="C28" s="17" t="s">
        <v>36</v>
      </c>
      <c r="D28" s="16">
        <v>11000</v>
      </c>
      <c r="E28" s="18">
        <f t="shared" si="2"/>
        <v>354.838709677419</v>
      </c>
      <c r="F28" s="19">
        <v>31</v>
      </c>
      <c r="G28" s="19">
        <v>0</v>
      </c>
      <c r="H28" s="16">
        <f t="shared" si="0"/>
        <v>31</v>
      </c>
      <c r="I28" s="18">
        <f t="shared" si="1"/>
        <v>11000</v>
      </c>
      <c r="J28" s="19" t="s">
        <v>27</v>
      </c>
    </row>
    <row r="29" s="3" customFormat="1" ht="24.5" customHeight="1" spans="2:10">
      <c r="B29" s="16">
        <v>26</v>
      </c>
      <c r="C29" s="17" t="s">
        <v>37</v>
      </c>
      <c r="D29" s="16">
        <v>12000</v>
      </c>
      <c r="E29" s="18">
        <f t="shared" si="2"/>
        <v>387.096774193548</v>
      </c>
      <c r="F29" s="19">
        <v>31</v>
      </c>
      <c r="G29" s="19">
        <v>0</v>
      </c>
      <c r="H29" s="16">
        <f t="shared" si="0"/>
        <v>31</v>
      </c>
      <c r="I29" s="18">
        <f t="shared" si="1"/>
        <v>12000</v>
      </c>
      <c r="J29" s="19"/>
    </row>
    <row r="30" s="5" customFormat="1" ht="24.5" customHeight="1" spans="2:10">
      <c r="B30" s="16">
        <v>27</v>
      </c>
      <c r="C30" s="17" t="s">
        <v>38</v>
      </c>
      <c r="D30" s="16">
        <v>15000</v>
      </c>
      <c r="E30" s="18">
        <f t="shared" si="2"/>
        <v>483.870967741935</v>
      </c>
      <c r="F30" s="19">
        <v>31</v>
      </c>
      <c r="G30" s="19">
        <v>0</v>
      </c>
      <c r="H30" s="16">
        <f t="shared" si="0"/>
        <v>31</v>
      </c>
      <c r="I30" s="18">
        <f t="shared" si="1"/>
        <v>15000</v>
      </c>
      <c r="J30" s="19"/>
    </row>
    <row r="31" s="5" customFormat="1" ht="24.5" customHeight="1" spans="2:10">
      <c r="B31" s="16">
        <v>28</v>
      </c>
      <c r="C31" s="17" t="s">
        <v>39</v>
      </c>
      <c r="D31" s="16">
        <v>14000</v>
      </c>
      <c r="E31" s="18">
        <f t="shared" si="2"/>
        <v>451.612903225806</v>
      </c>
      <c r="F31" s="19">
        <v>31</v>
      </c>
      <c r="G31" s="19">
        <v>0</v>
      </c>
      <c r="H31" s="16">
        <f t="shared" si="0"/>
        <v>31</v>
      </c>
      <c r="I31" s="18">
        <f t="shared" si="1"/>
        <v>14000</v>
      </c>
      <c r="J31" s="19"/>
    </row>
    <row r="32" s="5" customFormat="1" ht="24.5" customHeight="1" spans="2:10">
      <c r="B32" s="16">
        <v>29</v>
      </c>
      <c r="C32" s="20" t="s">
        <v>40</v>
      </c>
      <c r="D32" s="21">
        <v>16000</v>
      </c>
      <c r="E32" s="22">
        <f t="shared" si="2"/>
        <v>516.129032258065</v>
      </c>
      <c r="F32" s="23">
        <v>24</v>
      </c>
      <c r="G32" s="23">
        <v>0</v>
      </c>
      <c r="H32" s="21">
        <f t="shared" si="0"/>
        <v>24</v>
      </c>
      <c r="I32" s="22">
        <f t="shared" si="1"/>
        <v>12387.0967741935</v>
      </c>
      <c r="J32" s="23"/>
    </row>
    <row r="33" s="2" customFormat="1" ht="24.5" customHeight="1" spans="2:10">
      <c r="B33" s="24" t="s">
        <v>41</v>
      </c>
      <c r="C33" s="25"/>
      <c r="D33" s="13"/>
      <c r="E33" s="26"/>
      <c r="F33" s="13"/>
      <c r="G33" s="13"/>
      <c r="H33" s="13"/>
      <c r="I33" s="13"/>
      <c r="J33" s="14"/>
    </row>
    <row r="34" s="3" customFormat="1" ht="24.5" customHeight="1" spans="2:10">
      <c r="B34" s="27">
        <v>30</v>
      </c>
      <c r="C34" s="28" t="s">
        <v>42</v>
      </c>
      <c r="D34" s="27">
        <v>9000</v>
      </c>
      <c r="E34" s="29">
        <f t="shared" si="2"/>
        <v>290.322580645161</v>
      </c>
      <c r="F34" s="30">
        <v>24</v>
      </c>
      <c r="G34" s="30">
        <v>2</v>
      </c>
      <c r="H34" s="27">
        <f t="shared" ref="H34:H62" si="3">F34+G34</f>
        <v>26</v>
      </c>
      <c r="I34" s="29">
        <f t="shared" ref="I34:I62" si="4">H34*E34</f>
        <v>7548.38709677419</v>
      </c>
      <c r="J34" s="30"/>
    </row>
    <row r="35" s="3" customFormat="1" ht="24.5" customHeight="1" spans="2:10">
      <c r="B35" s="16">
        <v>31</v>
      </c>
      <c r="C35" s="28" t="s">
        <v>43</v>
      </c>
      <c r="D35" s="27">
        <v>9000</v>
      </c>
      <c r="E35" s="18">
        <f t="shared" si="2"/>
        <v>290.322580645161</v>
      </c>
      <c r="F35" s="30">
        <v>29</v>
      </c>
      <c r="G35" s="30">
        <v>2</v>
      </c>
      <c r="H35" s="27">
        <f t="shared" si="3"/>
        <v>31</v>
      </c>
      <c r="I35" s="29">
        <f t="shared" si="4"/>
        <v>8999.99999999999</v>
      </c>
      <c r="J35" s="30"/>
    </row>
    <row r="36" s="3" customFormat="1" ht="24.5" customHeight="1" spans="2:10">
      <c r="B36" s="16">
        <v>32</v>
      </c>
      <c r="C36" s="17" t="s">
        <v>44</v>
      </c>
      <c r="D36" s="16">
        <v>9000</v>
      </c>
      <c r="E36" s="18">
        <f t="shared" si="2"/>
        <v>290.322580645161</v>
      </c>
      <c r="F36" s="30">
        <v>29</v>
      </c>
      <c r="G36" s="30">
        <v>2</v>
      </c>
      <c r="H36" s="16">
        <f t="shared" si="3"/>
        <v>31</v>
      </c>
      <c r="I36" s="18">
        <f t="shared" si="4"/>
        <v>8999.99999999999</v>
      </c>
      <c r="J36" s="19"/>
    </row>
    <row r="37" s="3" customFormat="1" ht="24.5" customHeight="1" spans="2:10">
      <c r="B37" s="27">
        <v>33</v>
      </c>
      <c r="C37" s="17" t="s">
        <v>45</v>
      </c>
      <c r="D37" s="16">
        <v>9000</v>
      </c>
      <c r="E37" s="18">
        <f t="shared" ref="E37:E63" si="5">D37/31</f>
        <v>290.322580645161</v>
      </c>
      <c r="F37" s="30">
        <v>29</v>
      </c>
      <c r="G37" s="30">
        <v>2</v>
      </c>
      <c r="H37" s="16">
        <f t="shared" si="3"/>
        <v>31</v>
      </c>
      <c r="I37" s="18">
        <f t="shared" si="4"/>
        <v>8999.99999999999</v>
      </c>
      <c r="J37" s="19"/>
    </row>
    <row r="38" s="3" customFormat="1" ht="24.5" customHeight="1" spans="2:10">
      <c r="B38" s="16">
        <v>34</v>
      </c>
      <c r="C38" s="17" t="s">
        <v>46</v>
      </c>
      <c r="D38" s="16">
        <v>9000</v>
      </c>
      <c r="E38" s="18">
        <f t="shared" si="5"/>
        <v>290.322580645161</v>
      </c>
      <c r="F38" s="16">
        <v>28</v>
      </c>
      <c r="G38" s="19">
        <v>2</v>
      </c>
      <c r="H38" s="16">
        <f t="shared" si="3"/>
        <v>30</v>
      </c>
      <c r="I38" s="18">
        <f t="shared" si="4"/>
        <v>8709.67741935483</v>
      </c>
      <c r="J38" s="19"/>
    </row>
    <row r="39" s="3" customFormat="1" ht="24.5" customHeight="1" spans="2:10">
      <c r="B39" s="16">
        <v>35</v>
      </c>
      <c r="C39" s="17" t="s">
        <v>47</v>
      </c>
      <c r="D39" s="16">
        <v>9000</v>
      </c>
      <c r="E39" s="18">
        <f t="shared" si="5"/>
        <v>290.322580645161</v>
      </c>
      <c r="F39" s="19">
        <v>26</v>
      </c>
      <c r="G39" s="19">
        <v>2</v>
      </c>
      <c r="H39" s="16">
        <f t="shared" si="3"/>
        <v>28</v>
      </c>
      <c r="I39" s="18">
        <f t="shared" si="4"/>
        <v>8129.03225806451</v>
      </c>
      <c r="J39" s="19"/>
    </row>
    <row r="40" s="3" customFormat="1" ht="24.5" customHeight="1" spans="2:10">
      <c r="B40" s="27">
        <v>36</v>
      </c>
      <c r="C40" s="17" t="s">
        <v>48</v>
      </c>
      <c r="D40" s="16">
        <v>13000</v>
      </c>
      <c r="E40" s="18">
        <f t="shared" si="5"/>
        <v>419.354838709677</v>
      </c>
      <c r="F40" s="16">
        <v>10</v>
      </c>
      <c r="G40" s="19">
        <v>0</v>
      </c>
      <c r="H40" s="16">
        <f t="shared" si="3"/>
        <v>10</v>
      </c>
      <c r="I40" s="18">
        <f t="shared" si="4"/>
        <v>4193.54838709677</v>
      </c>
      <c r="J40" s="19"/>
    </row>
    <row r="41" s="3" customFormat="1" ht="24.5" customHeight="1" spans="2:10">
      <c r="B41" s="16">
        <v>37</v>
      </c>
      <c r="C41" s="17" t="s">
        <v>49</v>
      </c>
      <c r="D41" s="16">
        <v>13000</v>
      </c>
      <c r="E41" s="18">
        <f t="shared" si="5"/>
        <v>419.354838709677</v>
      </c>
      <c r="F41" s="16">
        <v>28</v>
      </c>
      <c r="G41" s="19">
        <v>2</v>
      </c>
      <c r="H41" s="16">
        <f t="shared" si="3"/>
        <v>30</v>
      </c>
      <c r="I41" s="18">
        <f t="shared" si="4"/>
        <v>12580.6451612903</v>
      </c>
      <c r="J41" s="19"/>
    </row>
    <row r="42" s="3" customFormat="1" ht="24.5" customHeight="1" spans="2:10">
      <c r="B42" s="16">
        <v>38</v>
      </c>
      <c r="C42" s="17" t="s">
        <v>50</v>
      </c>
      <c r="D42" s="16">
        <v>13000</v>
      </c>
      <c r="E42" s="18">
        <f t="shared" si="5"/>
        <v>419.354838709677</v>
      </c>
      <c r="F42" s="16">
        <v>29</v>
      </c>
      <c r="G42" s="19">
        <v>2</v>
      </c>
      <c r="H42" s="16">
        <f t="shared" si="3"/>
        <v>31</v>
      </c>
      <c r="I42" s="18">
        <f t="shared" si="4"/>
        <v>13000</v>
      </c>
      <c r="J42" s="19"/>
    </row>
    <row r="43" s="3" customFormat="1" ht="24.5" customHeight="1" spans="2:10">
      <c r="B43" s="27">
        <v>39</v>
      </c>
      <c r="C43" s="17" t="s">
        <v>51</v>
      </c>
      <c r="D43" s="16">
        <v>13000</v>
      </c>
      <c r="E43" s="18">
        <f t="shared" si="5"/>
        <v>419.354838709677</v>
      </c>
      <c r="F43" s="16">
        <v>29</v>
      </c>
      <c r="G43" s="19">
        <v>2</v>
      </c>
      <c r="H43" s="16">
        <f t="shared" si="3"/>
        <v>31</v>
      </c>
      <c r="I43" s="18">
        <f t="shared" si="4"/>
        <v>13000</v>
      </c>
      <c r="J43" s="19"/>
    </row>
    <row r="44" s="3" customFormat="1" ht="24.5" customHeight="1" spans="2:10">
      <c r="B44" s="16">
        <v>40</v>
      </c>
      <c r="C44" s="17" t="s">
        <v>52</v>
      </c>
      <c r="D44" s="16">
        <v>13000</v>
      </c>
      <c r="E44" s="18">
        <f t="shared" si="5"/>
        <v>419.354838709677</v>
      </c>
      <c r="F44" s="16">
        <v>20</v>
      </c>
      <c r="G44" s="19">
        <v>1</v>
      </c>
      <c r="H44" s="16">
        <f t="shared" si="3"/>
        <v>21</v>
      </c>
      <c r="I44" s="18">
        <f t="shared" si="4"/>
        <v>8806.45161290322</v>
      </c>
      <c r="J44" s="19"/>
    </row>
    <row r="45" s="3" customFormat="1" ht="24.5" customHeight="1" spans="2:10">
      <c r="B45" s="16">
        <v>41</v>
      </c>
      <c r="C45" s="17" t="s">
        <v>53</v>
      </c>
      <c r="D45" s="16">
        <v>13000</v>
      </c>
      <c r="E45" s="18">
        <f t="shared" si="5"/>
        <v>419.354838709677</v>
      </c>
      <c r="F45" s="16">
        <v>29</v>
      </c>
      <c r="G45" s="19">
        <v>2</v>
      </c>
      <c r="H45" s="16">
        <f t="shared" si="3"/>
        <v>31</v>
      </c>
      <c r="I45" s="18">
        <f t="shared" si="4"/>
        <v>13000</v>
      </c>
      <c r="J45" s="19"/>
    </row>
    <row r="46" s="3" customFormat="1" ht="24.5" customHeight="1" spans="2:10">
      <c r="B46" s="27">
        <v>42</v>
      </c>
      <c r="C46" s="17" t="s">
        <v>54</v>
      </c>
      <c r="D46" s="16">
        <v>13000</v>
      </c>
      <c r="E46" s="18">
        <f t="shared" si="5"/>
        <v>419.354838709677</v>
      </c>
      <c r="F46" s="16">
        <v>28</v>
      </c>
      <c r="G46" s="19">
        <v>2</v>
      </c>
      <c r="H46" s="16">
        <f t="shared" si="3"/>
        <v>30</v>
      </c>
      <c r="I46" s="18">
        <f t="shared" si="4"/>
        <v>12580.6451612903</v>
      </c>
      <c r="J46" s="19"/>
    </row>
    <row r="47" s="3" customFormat="1" ht="24.5" customHeight="1" spans="2:10">
      <c r="B47" s="16">
        <v>43</v>
      </c>
      <c r="C47" s="17" t="s">
        <v>55</v>
      </c>
      <c r="D47" s="16">
        <v>13000</v>
      </c>
      <c r="E47" s="18">
        <f t="shared" si="5"/>
        <v>419.354838709677</v>
      </c>
      <c r="F47" s="19">
        <v>17</v>
      </c>
      <c r="G47" s="19">
        <v>1</v>
      </c>
      <c r="H47" s="16">
        <f t="shared" si="3"/>
        <v>18</v>
      </c>
      <c r="I47" s="18">
        <f t="shared" si="4"/>
        <v>7548.38709677419</v>
      </c>
      <c r="J47" s="19"/>
    </row>
    <row r="48" s="5" customFormat="1" ht="24.5" customHeight="1" spans="2:10">
      <c r="B48" s="16">
        <v>44</v>
      </c>
      <c r="C48" s="17" t="s">
        <v>56</v>
      </c>
      <c r="D48" s="16">
        <v>13000</v>
      </c>
      <c r="E48" s="18">
        <f t="shared" si="5"/>
        <v>419.354838709677</v>
      </c>
      <c r="F48" s="16">
        <v>31</v>
      </c>
      <c r="G48" s="19">
        <v>0</v>
      </c>
      <c r="H48" s="16">
        <f t="shared" si="3"/>
        <v>31</v>
      </c>
      <c r="I48" s="18">
        <f t="shared" si="4"/>
        <v>13000</v>
      </c>
      <c r="J48" s="19"/>
    </row>
    <row r="49" s="3" customFormat="1" ht="24.5" customHeight="1" spans="2:10">
      <c r="B49" s="27">
        <v>45</v>
      </c>
      <c r="C49" s="17" t="s">
        <v>57</v>
      </c>
      <c r="D49" s="16">
        <v>13000</v>
      </c>
      <c r="E49" s="18">
        <f t="shared" si="5"/>
        <v>419.354838709677</v>
      </c>
      <c r="F49" s="16">
        <v>29</v>
      </c>
      <c r="G49" s="19">
        <v>2</v>
      </c>
      <c r="H49" s="16">
        <f t="shared" si="3"/>
        <v>31</v>
      </c>
      <c r="I49" s="18">
        <f t="shared" si="4"/>
        <v>13000</v>
      </c>
      <c r="J49" s="19"/>
    </row>
    <row r="50" s="3" customFormat="1" ht="24.5" customHeight="1" spans="2:10">
      <c r="B50" s="16">
        <v>46</v>
      </c>
      <c r="C50" s="17" t="s">
        <v>58</v>
      </c>
      <c r="D50" s="16">
        <v>13000</v>
      </c>
      <c r="E50" s="18">
        <f t="shared" si="5"/>
        <v>419.354838709677</v>
      </c>
      <c r="F50" s="16">
        <v>26</v>
      </c>
      <c r="G50" s="19">
        <v>2</v>
      </c>
      <c r="H50" s="16">
        <f t="shared" si="3"/>
        <v>28</v>
      </c>
      <c r="I50" s="18">
        <f t="shared" si="4"/>
        <v>11741.935483871</v>
      </c>
      <c r="J50" s="19"/>
    </row>
    <row r="51" s="3" customFormat="1" ht="24.5" customHeight="1" spans="2:10">
      <c r="B51" s="16">
        <v>47</v>
      </c>
      <c r="C51" s="17" t="s">
        <v>59</v>
      </c>
      <c r="D51" s="16">
        <v>9000</v>
      </c>
      <c r="E51" s="18">
        <f t="shared" si="5"/>
        <v>290.322580645161</v>
      </c>
      <c r="F51" s="19">
        <v>29</v>
      </c>
      <c r="G51" s="19">
        <v>2</v>
      </c>
      <c r="H51" s="16">
        <f t="shared" si="3"/>
        <v>31</v>
      </c>
      <c r="I51" s="18">
        <f t="shared" si="4"/>
        <v>8999.99999999999</v>
      </c>
      <c r="J51" s="19"/>
    </row>
    <row r="52" s="3" customFormat="1" ht="24.5" customHeight="1" spans="2:10">
      <c r="B52" s="27">
        <v>48</v>
      </c>
      <c r="C52" s="17" t="s">
        <v>60</v>
      </c>
      <c r="D52" s="16">
        <v>13000</v>
      </c>
      <c r="E52" s="18">
        <f t="shared" si="5"/>
        <v>419.354838709677</v>
      </c>
      <c r="F52" s="19">
        <v>23</v>
      </c>
      <c r="G52" s="19">
        <v>2</v>
      </c>
      <c r="H52" s="16">
        <f t="shared" si="3"/>
        <v>25</v>
      </c>
      <c r="I52" s="18">
        <f t="shared" si="4"/>
        <v>10483.8709677419</v>
      </c>
      <c r="J52" s="19"/>
    </row>
    <row r="53" s="3" customFormat="1" ht="24.5" customHeight="1" spans="2:10">
      <c r="B53" s="16">
        <v>49</v>
      </c>
      <c r="C53" s="17" t="s">
        <v>61</v>
      </c>
      <c r="D53" s="16">
        <v>13000</v>
      </c>
      <c r="E53" s="18">
        <f t="shared" si="5"/>
        <v>419.354838709677</v>
      </c>
      <c r="F53" s="19">
        <v>25</v>
      </c>
      <c r="G53" s="19">
        <v>2</v>
      </c>
      <c r="H53" s="16">
        <f t="shared" si="3"/>
        <v>27</v>
      </c>
      <c r="I53" s="18">
        <f t="shared" si="4"/>
        <v>11322.5806451613</v>
      </c>
      <c r="J53" s="19"/>
    </row>
    <row r="54" s="3" customFormat="1" ht="24.5" customHeight="1" spans="2:10">
      <c r="B54" s="16">
        <v>50</v>
      </c>
      <c r="C54" s="17" t="s">
        <v>62</v>
      </c>
      <c r="D54" s="16">
        <v>13000</v>
      </c>
      <c r="E54" s="18">
        <f t="shared" si="5"/>
        <v>419.354838709677</v>
      </c>
      <c r="F54" s="19">
        <v>31</v>
      </c>
      <c r="G54" s="19">
        <v>0</v>
      </c>
      <c r="H54" s="16">
        <f t="shared" si="3"/>
        <v>31</v>
      </c>
      <c r="I54" s="18">
        <f t="shared" si="4"/>
        <v>13000</v>
      </c>
      <c r="J54" s="19"/>
    </row>
    <row r="55" s="3" customFormat="1" ht="24.5" customHeight="1" spans="2:10">
      <c r="B55" s="27">
        <v>51</v>
      </c>
      <c r="C55" s="17" t="s">
        <v>63</v>
      </c>
      <c r="D55" s="16">
        <v>18000</v>
      </c>
      <c r="E55" s="18">
        <f t="shared" si="5"/>
        <v>580.645161290323</v>
      </c>
      <c r="F55" s="19">
        <v>11</v>
      </c>
      <c r="G55" s="19">
        <v>0</v>
      </c>
      <c r="H55" s="16">
        <f t="shared" si="3"/>
        <v>11</v>
      </c>
      <c r="I55" s="18">
        <f t="shared" si="4"/>
        <v>6387.09677419355</v>
      </c>
      <c r="J55" s="19" t="s">
        <v>27</v>
      </c>
    </row>
    <row r="56" s="3" customFormat="1" ht="24.5" customHeight="1" spans="2:10">
      <c r="B56" s="16">
        <v>52</v>
      </c>
      <c r="C56" s="17" t="s">
        <v>64</v>
      </c>
      <c r="D56" s="16">
        <v>13000</v>
      </c>
      <c r="E56" s="18">
        <f t="shared" si="5"/>
        <v>419.354838709677</v>
      </c>
      <c r="F56" s="19">
        <v>6</v>
      </c>
      <c r="G56" s="19">
        <v>0</v>
      </c>
      <c r="H56" s="16">
        <f t="shared" si="3"/>
        <v>6</v>
      </c>
      <c r="I56" s="18">
        <f t="shared" si="4"/>
        <v>2516.12903225806</v>
      </c>
      <c r="J56" s="19" t="s">
        <v>27</v>
      </c>
    </row>
    <row r="57" s="3" customFormat="1" ht="24.5" customHeight="1" spans="2:10">
      <c r="B57" s="16">
        <v>53</v>
      </c>
      <c r="C57" s="17" t="s">
        <v>65</v>
      </c>
      <c r="D57" s="16">
        <v>13000</v>
      </c>
      <c r="E57" s="18">
        <f t="shared" si="5"/>
        <v>419.354838709677</v>
      </c>
      <c r="F57" s="19">
        <v>5</v>
      </c>
      <c r="G57" s="19">
        <v>0</v>
      </c>
      <c r="H57" s="16">
        <f t="shared" si="3"/>
        <v>5</v>
      </c>
      <c r="I57" s="18">
        <f t="shared" si="4"/>
        <v>2096.77419354839</v>
      </c>
      <c r="J57" s="19" t="s">
        <v>27</v>
      </c>
    </row>
    <row r="58" s="3" customFormat="1" ht="24.5" customHeight="1" spans="2:10">
      <c r="B58" s="27">
        <v>54</v>
      </c>
      <c r="C58" s="17" t="s">
        <v>66</v>
      </c>
      <c r="D58" s="16">
        <v>22000</v>
      </c>
      <c r="E58" s="18">
        <f t="shared" si="5"/>
        <v>709.677419354839</v>
      </c>
      <c r="F58" s="19">
        <v>8</v>
      </c>
      <c r="G58" s="19">
        <v>0</v>
      </c>
      <c r="H58" s="16">
        <f t="shared" si="3"/>
        <v>8</v>
      </c>
      <c r="I58" s="18">
        <f t="shared" si="4"/>
        <v>5677.41935483871</v>
      </c>
      <c r="J58" s="19" t="s">
        <v>27</v>
      </c>
    </row>
    <row r="59" s="3" customFormat="1" ht="24.5" customHeight="1" spans="2:10">
      <c r="B59" s="16">
        <v>55</v>
      </c>
      <c r="C59" s="17" t="s">
        <v>67</v>
      </c>
      <c r="D59" s="16">
        <v>40000</v>
      </c>
      <c r="E59" s="18">
        <f t="shared" si="5"/>
        <v>1290.32258064516</v>
      </c>
      <c r="F59" s="19">
        <v>31</v>
      </c>
      <c r="G59" s="19">
        <v>0</v>
      </c>
      <c r="H59" s="16">
        <f t="shared" si="3"/>
        <v>31</v>
      </c>
      <c r="I59" s="18">
        <f t="shared" si="4"/>
        <v>40000</v>
      </c>
      <c r="J59" s="19"/>
    </row>
    <row r="60" s="3" customFormat="1" ht="24.5" customHeight="1" spans="2:10">
      <c r="B60" s="16">
        <v>56</v>
      </c>
      <c r="C60" s="17" t="s">
        <v>68</v>
      </c>
      <c r="D60" s="16">
        <v>40000</v>
      </c>
      <c r="E60" s="18">
        <f t="shared" si="5"/>
        <v>1290.32258064516</v>
      </c>
      <c r="F60" s="19">
        <v>31</v>
      </c>
      <c r="G60" s="19">
        <v>0</v>
      </c>
      <c r="H60" s="16">
        <f t="shared" si="3"/>
        <v>31</v>
      </c>
      <c r="I60" s="18">
        <f t="shared" si="4"/>
        <v>40000</v>
      </c>
      <c r="J60" s="19"/>
    </row>
    <row r="61" s="3" customFormat="1" ht="24.5" customHeight="1" spans="2:10">
      <c r="B61" s="27">
        <v>57</v>
      </c>
      <c r="C61" s="17" t="s">
        <v>69</v>
      </c>
      <c r="D61" s="16">
        <v>40000</v>
      </c>
      <c r="E61" s="18">
        <f t="shared" si="5"/>
        <v>1290.32258064516</v>
      </c>
      <c r="F61" s="19">
        <v>31</v>
      </c>
      <c r="G61" s="19">
        <v>0</v>
      </c>
      <c r="H61" s="16">
        <f t="shared" si="3"/>
        <v>31</v>
      </c>
      <c r="I61" s="18">
        <f t="shared" si="4"/>
        <v>40000</v>
      </c>
      <c r="J61" s="19"/>
    </row>
    <row r="62" s="3" customFormat="1" ht="24.5" customHeight="1" spans="2:10">
      <c r="B62" s="16">
        <v>58</v>
      </c>
      <c r="C62" s="17" t="s">
        <v>70</v>
      </c>
      <c r="D62" s="16">
        <v>7000</v>
      </c>
      <c r="E62" s="18">
        <f t="shared" si="5"/>
        <v>225.806451612903</v>
      </c>
      <c r="F62" s="19">
        <v>31</v>
      </c>
      <c r="G62" s="19">
        <v>0</v>
      </c>
      <c r="H62" s="16">
        <f t="shared" si="3"/>
        <v>31</v>
      </c>
      <c r="I62" s="18">
        <f t="shared" si="4"/>
        <v>6999.99999999999</v>
      </c>
      <c r="J62" s="19"/>
    </row>
    <row r="63" s="6" customFormat="1" ht="24.5" customHeight="1" spans="2:10">
      <c r="B63" s="31" t="s">
        <v>71</v>
      </c>
      <c r="C63" s="32"/>
      <c r="D63" s="33">
        <f t="shared" ref="D63:I63" si="6">SUM(D4:D62)</f>
        <v>877000</v>
      </c>
      <c r="E63" s="34">
        <f t="shared" si="5"/>
        <v>28290.3225806452</v>
      </c>
      <c r="F63" s="35">
        <f t="shared" si="6"/>
        <v>1586</v>
      </c>
      <c r="G63" s="35">
        <f t="shared" si="6"/>
        <v>43</v>
      </c>
      <c r="H63" s="33">
        <f t="shared" si="6"/>
        <v>1629</v>
      </c>
      <c r="I63" s="34">
        <f t="shared" si="6"/>
        <v>796709.677419355</v>
      </c>
      <c r="J63" s="35"/>
    </row>
    <row r="64" s="7" customFormat="1" ht="30.5" customHeight="1" spans="2:10">
      <c r="B64" s="36"/>
      <c r="C64" s="37"/>
      <c r="E64" s="3"/>
      <c r="F64" s="3"/>
      <c r="G64" s="3"/>
      <c r="H64" s="3"/>
      <c r="I64" s="3"/>
      <c r="J64" s="38"/>
    </row>
    <row r="65" s="7" customFormat="1" ht="30.5" customHeight="1" spans="2:10">
      <c r="B65" s="36"/>
      <c r="C65" s="37"/>
      <c r="E65" s="3"/>
      <c r="F65" s="3"/>
      <c r="G65" s="3"/>
      <c r="H65" s="3"/>
      <c r="I65" s="3"/>
      <c r="J65" s="38"/>
    </row>
    <row r="66" s="7" customFormat="1" ht="15.5" spans="2:10">
      <c r="B66" s="36"/>
      <c r="C66" s="37"/>
      <c r="E66" s="3"/>
      <c r="F66" s="3"/>
      <c r="G66" s="3"/>
      <c r="H66" s="3"/>
      <c r="I66" s="3"/>
      <c r="J66" s="38"/>
    </row>
    <row r="67" s="8" customFormat="1" ht="15" spans="2:10">
      <c r="B67" s="39"/>
      <c r="C67" s="40" t="s">
        <v>72</v>
      </c>
      <c r="D67" s="41"/>
      <c r="E67" s="42"/>
      <c r="F67" s="42"/>
      <c r="G67" s="42"/>
      <c r="H67" s="42" t="s">
        <v>73</v>
      </c>
      <c r="I67" s="42"/>
      <c r="J67" s="43"/>
    </row>
  </sheetData>
  <mergeCells count="5">
    <mergeCell ref="B1:J1"/>
    <mergeCell ref="B2:C2"/>
    <mergeCell ref="B33:C33"/>
    <mergeCell ref="B63:C63"/>
    <mergeCell ref="H67:I67"/>
  </mergeCells>
  <pageMargins left="0.2" right="0.2" top="0.25" bottom="0.25" header="0.3" footer="0.3"/>
  <pageSetup paperSize="1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p</dc:creator>
  <cp:lastModifiedBy>swath</cp:lastModifiedBy>
  <dcterms:created xsi:type="dcterms:W3CDTF">2026-03-11T04:46:00Z</dcterms:created>
  <cp:lastPrinted>2026-08-04T06:34:00Z</cp:lastPrinted>
  <dcterms:modified xsi:type="dcterms:W3CDTF">2026-08-10T10:01:48Z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1D4CAC80B6454CA48C18491C9CA8AD93_12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